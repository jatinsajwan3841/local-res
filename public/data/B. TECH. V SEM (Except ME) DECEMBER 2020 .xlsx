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89F485B9-5455-4598-85F5-001445535C3D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C S" sheetId="6" r:id="rId1"/>
    <sheet name="EE" sheetId="8" r:id="rId2"/>
    <sheet name="CE" sheetId="10" r:id="rId3"/>
    <sheet name="BT" sheetId="12" r:id="rId4"/>
    <sheet name="EC" sheetId="13" r:id="rId5"/>
  </sheets>
  <definedNames>
    <definedName name="_GoBack" localSheetId="3">BT!#REF!</definedName>
    <definedName name="_xlnm.Print_Titles" localSheetId="3">BT!$1:$7</definedName>
    <definedName name="_xlnm.Print_Titles" localSheetId="0">'C S'!$1:$7</definedName>
    <definedName name="_xlnm.Print_Titles" localSheetId="2">CE!$1:$7</definedName>
    <definedName name="_xlnm.Print_Titles" localSheetId="4">EC!$1:$7</definedName>
    <definedName name="_xlnm.Print_Titles" localSheetId="1">EE!$1:$7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10" l="1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8" i="10"/>
  <c r="P9" i="10"/>
  <c r="P10" i="10"/>
  <c r="P11" i="10"/>
  <c r="P12" i="10"/>
  <c r="P13" i="10"/>
  <c r="P14" i="10"/>
  <c r="AM14" i="10" s="1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8" i="10"/>
  <c r="AH9" i="12"/>
  <c r="AH8" i="12"/>
  <c r="AE9" i="12"/>
  <c r="AE8" i="12"/>
  <c r="AJ8" i="12" s="1"/>
  <c r="AB9" i="12"/>
  <c r="AB8" i="12"/>
  <c r="Y9" i="12"/>
  <c r="Y8" i="12"/>
  <c r="V9" i="12"/>
  <c r="V8" i="12"/>
  <c r="S9" i="12"/>
  <c r="S8" i="12"/>
  <c r="P9" i="12"/>
  <c r="P8" i="12"/>
  <c r="M9" i="12"/>
  <c r="M8" i="12"/>
  <c r="J9" i="12"/>
  <c r="J8" i="12"/>
  <c r="R6" i="13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8" i="6"/>
  <c r="AE6" i="12"/>
  <c r="V6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8" i="10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8" i="6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Q42" i="8" s="1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8" i="8"/>
  <c r="AA10" i="8"/>
  <c r="AA12" i="8"/>
  <c r="AA14" i="8"/>
  <c r="AA15" i="8"/>
  <c r="AA16" i="8"/>
  <c r="AA17" i="8"/>
  <c r="AA19" i="8"/>
  <c r="AA21" i="8"/>
  <c r="AA22" i="8"/>
  <c r="AA30" i="8"/>
  <c r="AA33" i="8"/>
  <c r="AA38" i="8"/>
  <c r="AA39" i="8"/>
  <c r="AA42" i="8"/>
  <c r="AA43" i="8"/>
  <c r="AA47" i="8"/>
  <c r="AA50" i="8"/>
  <c r="AA56" i="8"/>
  <c r="AA57" i="8"/>
  <c r="AA64" i="8"/>
  <c r="AA67" i="8"/>
  <c r="AA68" i="8"/>
  <c r="X9" i="8"/>
  <c r="X11" i="8"/>
  <c r="X13" i="8"/>
  <c r="X18" i="8"/>
  <c r="X20" i="8"/>
  <c r="X23" i="8"/>
  <c r="X24" i="8"/>
  <c r="X25" i="8"/>
  <c r="X26" i="8"/>
  <c r="X27" i="8"/>
  <c r="X28" i="8"/>
  <c r="X29" i="8"/>
  <c r="X31" i="8"/>
  <c r="X32" i="8"/>
  <c r="X34" i="8"/>
  <c r="X35" i="8"/>
  <c r="X36" i="8"/>
  <c r="X37" i="8"/>
  <c r="X40" i="8"/>
  <c r="X41" i="8"/>
  <c r="X44" i="8"/>
  <c r="X45" i="8"/>
  <c r="X46" i="8"/>
  <c r="X48" i="8"/>
  <c r="X49" i="8"/>
  <c r="X51" i="8"/>
  <c r="X52" i="8"/>
  <c r="X53" i="8"/>
  <c r="X54" i="8"/>
  <c r="X55" i="8"/>
  <c r="X58" i="8"/>
  <c r="X59" i="8"/>
  <c r="X60" i="8"/>
  <c r="X61" i="8"/>
  <c r="X62" i="8"/>
  <c r="X63" i="8"/>
  <c r="X65" i="8"/>
  <c r="X66" i="8"/>
  <c r="X8" i="8"/>
  <c r="AA6" i="8"/>
  <c r="X49" i="13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8" i="6"/>
  <c r="AA11" i="6"/>
  <c r="AA13" i="6"/>
  <c r="AA15" i="6"/>
  <c r="AA17" i="6"/>
  <c r="AA39" i="6"/>
  <c r="AA47" i="6"/>
  <c r="AA48" i="6"/>
  <c r="AA51" i="6"/>
  <c r="AA55" i="6"/>
  <c r="AA60" i="6"/>
  <c r="X9" i="6"/>
  <c r="X10" i="6"/>
  <c r="X12" i="6"/>
  <c r="X14" i="6"/>
  <c r="X16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40" i="6"/>
  <c r="X41" i="6"/>
  <c r="X42" i="6"/>
  <c r="X43" i="6"/>
  <c r="X44" i="6"/>
  <c r="X45" i="6"/>
  <c r="X46" i="6"/>
  <c r="X49" i="6"/>
  <c r="X50" i="6"/>
  <c r="X52" i="6"/>
  <c r="X53" i="6"/>
  <c r="X54" i="6"/>
  <c r="X56" i="6"/>
  <c r="X57" i="6"/>
  <c r="X58" i="6"/>
  <c r="X59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AL30" i="6" s="1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8" i="6"/>
  <c r="I9" i="6"/>
  <c r="I10" i="6"/>
  <c r="I11" i="6"/>
  <c r="AL11" i="6" s="1"/>
  <c r="I12" i="6"/>
  <c r="I13" i="6"/>
  <c r="I14" i="6"/>
  <c r="I15" i="6"/>
  <c r="I16" i="6"/>
  <c r="I17" i="6"/>
  <c r="I18" i="6"/>
  <c r="I19" i="6"/>
  <c r="AL19" i="6" s="1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AL36" i="6" s="1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8" i="6"/>
  <c r="AV9" i="13"/>
  <c r="AV10" i="13"/>
  <c r="AV11" i="13"/>
  <c r="AV12" i="13"/>
  <c r="AV13" i="13"/>
  <c r="AV14" i="13"/>
  <c r="AV15" i="13"/>
  <c r="AV16" i="13"/>
  <c r="AV17" i="13"/>
  <c r="AV18" i="13"/>
  <c r="AV19" i="13"/>
  <c r="AV20" i="13"/>
  <c r="AV21" i="13"/>
  <c r="AV22" i="13"/>
  <c r="AV23" i="13"/>
  <c r="AV24" i="13"/>
  <c r="AV25" i="13"/>
  <c r="AV26" i="13"/>
  <c r="AV27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V60" i="13"/>
  <c r="AV61" i="13"/>
  <c r="AV62" i="13"/>
  <c r="AV63" i="13"/>
  <c r="AV64" i="13"/>
  <c r="AV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X49" i="13" s="1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8" i="13"/>
  <c r="AP9" i="13"/>
  <c r="AP10" i="13"/>
  <c r="AP11" i="13"/>
  <c r="AP12" i="13"/>
  <c r="AP13" i="13"/>
  <c r="AP14" i="13"/>
  <c r="AP15" i="13"/>
  <c r="AP16" i="13"/>
  <c r="AP17" i="13"/>
  <c r="AP18" i="13"/>
  <c r="AP19" i="13"/>
  <c r="AP20" i="13"/>
  <c r="AP21" i="13"/>
  <c r="AP22" i="13"/>
  <c r="AP23" i="13"/>
  <c r="AP24" i="13"/>
  <c r="AP25" i="13"/>
  <c r="AP26" i="13"/>
  <c r="AP27" i="13"/>
  <c r="AP28" i="13"/>
  <c r="AP29" i="13"/>
  <c r="AP30" i="13"/>
  <c r="AP31" i="13"/>
  <c r="AP32" i="13"/>
  <c r="AP33" i="13"/>
  <c r="AP34" i="13"/>
  <c r="AP35" i="13"/>
  <c r="AP36" i="13"/>
  <c r="AP37" i="13"/>
  <c r="AP38" i="13"/>
  <c r="AP39" i="13"/>
  <c r="AP40" i="13"/>
  <c r="AP41" i="13"/>
  <c r="AP42" i="13"/>
  <c r="AP43" i="13"/>
  <c r="AP44" i="13"/>
  <c r="AP45" i="13"/>
  <c r="AP46" i="13"/>
  <c r="AP47" i="13"/>
  <c r="AX47" i="13" s="1"/>
  <c r="AP48" i="13"/>
  <c r="AP49" i="13"/>
  <c r="AP50" i="13"/>
  <c r="AP51" i="13"/>
  <c r="AP52" i="13"/>
  <c r="AP53" i="13"/>
  <c r="AP54" i="13"/>
  <c r="AP55" i="13"/>
  <c r="AP56" i="13"/>
  <c r="AX56" i="13" s="1"/>
  <c r="AP57" i="13"/>
  <c r="AP58" i="13"/>
  <c r="AP59" i="13"/>
  <c r="AP60" i="13"/>
  <c r="AP61" i="13"/>
  <c r="AP62" i="13"/>
  <c r="AP63" i="13"/>
  <c r="AP64" i="13"/>
  <c r="AP8" i="13"/>
  <c r="AM12" i="13"/>
  <c r="AM14" i="13"/>
  <c r="AM16" i="13"/>
  <c r="AM22" i="13"/>
  <c r="AM24" i="13"/>
  <c r="AM25" i="13"/>
  <c r="AM33" i="13"/>
  <c r="AM34" i="13"/>
  <c r="AM35" i="13"/>
  <c r="AM41" i="13"/>
  <c r="AM42" i="13"/>
  <c r="AM45" i="13"/>
  <c r="AM49" i="13"/>
  <c r="AM50" i="13"/>
  <c r="AJ9" i="13"/>
  <c r="AJ18" i="13"/>
  <c r="AJ26" i="13"/>
  <c r="AJ27" i="13"/>
  <c r="AJ30" i="13"/>
  <c r="AJ38" i="13"/>
  <c r="AJ43" i="13"/>
  <c r="AJ48" i="13"/>
  <c r="AJ53" i="13"/>
  <c r="AJ54" i="13"/>
  <c r="AJ57" i="13"/>
  <c r="AJ58" i="13"/>
  <c r="AJ62" i="13"/>
  <c r="AJ63" i="13"/>
  <c r="AG10" i="13"/>
  <c r="AG28" i="13"/>
  <c r="AG29" i="13"/>
  <c r="AG31" i="13"/>
  <c r="AG32" i="13"/>
  <c r="AG37" i="13"/>
  <c r="AG39" i="13"/>
  <c r="AG40" i="13"/>
  <c r="AG44" i="13"/>
  <c r="AG46" i="13"/>
  <c r="AG47" i="13"/>
  <c r="AG51" i="13"/>
  <c r="AG56" i="13"/>
  <c r="AG8" i="13"/>
  <c r="AD11" i="13"/>
  <c r="AD13" i="13"/>
  <c r="AD15" i="13"/>
  <c r="AD17" i="13"/>
  <c r="AD19" i="13"/>
  <c r="AD20" i="13"/>
  <c r="AD21" i="13"/>
  <c r="AD23" i="13"/>
  <c r="AD36" i="13"/>
  <c r="AD52" i="13"/>
  <c r="AD55" i="13"/>
  <c r="AD59" i="13"/>
  <c r="AD60" i="13"/>
  <c r="AD61" i="13"/>
  <c r="AD64" i="13"/>
  <c r="AA9" i="13"/>
  <c r="AA14" i="13"/>
  <c r="AA15" i="13"/>
  <c r="AA16" i="13"/>
  <c r="AA18" i="13"/>
  <c r="AA19" i="13"/>
  <c r="AA26" i="13"/>
  <c r="AA30" i="13"/>
  <c r="AA33" i="13"/>
  <c r="AA42" i="13"/>
  <c r="AA53" i="13"/>
  <c r="AA58" i="13"/>
  <c r="AA63" i="13"/>
  <c r="AA8" i="13"/>
  <c r="X17" i="13"/>
  <c r="X21" i="13"/>
  <c r="X23" i="13"/>
  <c r="X27" i="13"/>
  <c r="X32" i="13"/>
  <c r="X38" i="13"/>
  <c r="X43" i="13"/>
  <c r="X44" i="13"/>
  <c r="X45" i="13"/>
  <c r="X47" i="13"/>
  <c r="X50" i="13"/>
  <c r="X60" i="13"/>
  <c r="X62" i="13"/>
  <c r="U10" i="13"/>
  <c r="U12" i="13"/>
  <c r="U13" i="13"/>
  <c r="U20" i="13"/>
  <c r="U24" i="13"/>
  <c r="U28" i="13"/>
  <c r="U29" i="13"/>
  <c r="U31" i="13"/>
  <c r="U34" i="13"/>
  <c r="U36" i="13"/>
  <c r="U39" i="13"/>
  <c r="U40" i="13"/>
  <c r="U41" i="13"/>
  <c r="U46" i="13"/>
  <c r="U55" i="13"/>
  <c r="R11" i="13"/>
  <c r="R22" i="13"/>
  <c r="R25" i="13"/>
  <c r="R35" i="13"/>
  <c r="R37" i="13"/>
  <c r="R48" i="13"/>
  <c r="R51" i="13"/>
  <c r="R52" i="13"/>
  <c r="R54" i="13"/>
  <c r="R56" i="13"/>
  <c r="R57" i="13"/>
  <c r="R59" i="13"/>
  <c r="R61" i="13"/>
  <c r="R64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8" i="13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8" i="8"/>
  <c r="U9" i="8"/>
  <c r="U10" i="8"/>
  <c r="U12" i="8"/>
  <c r="U13" i="8"/>
  <c r="U15" i="8"/>
  <c r="U19" i="8"/>
  <c r="U20" i="8"/>
  <c r="U23" i="8"/>
  <c r="U26" i="8"/>
  <c r="U28" i="8"/>
  <c r="U29" i="8"/>
  <c r="U31" i="8"/>
  <c r="U32" i="8"/>
  <c r="U34" i="8"/>
  <c r="U35" i="8"/>
  <c r="U36" i="8"/>
  <c r="U37" i="8"/>
  <c r="U38" i="8"/>
  <c r="U39" i="8"/>
  <c r="U41" i="8"/>
  <c r="U42" i="8"/>
  <c r="U43" i="8"/>
  <c r="U44" i="8"/>
  <c r="U47" i="8"/>
  <c r="U48" i="8"/>
  <c r="U49" i="8"/>
  <c r="U50" i="8"/>
  <c r="U51" i="8"/>
  <c r="U52" i="8"/>
  <c r="U53" i="8"/>
  <c r="U55" i="8"/>
  <c r="U56" i="8"/>
  <c r="U57" i="8"/>
  <c r="U58" i="8"/>
  <c r="U64" i="8"/>
  <c r="U68" i="8"/>
  <c r="U8" i="8"/>
  <c r="R11" i="8"/>
  <c r="R14" i="8"/>
  <c r="R16" i="8"/>
  <c r="R17" i="8"/>
  <c r="R18" i="8"/>
  <c r="R21" i="8"/>
  <c r="R22" i="8"/>
  <c r="R24" i="8"/>
  <c r="R25" i="8"/>
  <c r="AQ25" i="8" s="1"/>
  <c r="R27" i="8"/>
  <c r="R30" i="8"/>
  <c r="R33" i="8"/>
  <c r="R40" i="8"/>
  <c r="R45" i="8"/>
  <c r="R46" i="8"/>
  <c r="R54" i="8"/>
  <c r="R59" i="8"/>
  <c r="R60" i="8"/>
  <c r="R61" i="8"/>
  <c r="R62" i="8"/>
  <c r="R63" i="8"/>
  <c r="R65" i="8"/>
  <c r="R66" i="8"/>
  <c r="R67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8" i="8"/>
  <c r="AM6" i="13"/>
  <c r="AJ6" i="13"/>
  <c r="AG6" i="13"/>
  <c r="AD6" i="13"/>
  <c r="AA6" i="13"/>
  <c r="X6" i="13"/>
  <c r="U6" i="13"/>
  <c r="AA6" i="6"/>
  <c r="X6" i="6"/>
  <c r="U6" i="6"/>
  <c r="R6" i="6"/>
  <c r="X6" i="8"/>
  <c r="AK6" i="10"/>
  <c r="Y6" i="12"/>
  <c r="AM6" i="8"/>
  <c r="AJ6" i="8"/>
  <c r="O6" i="13"/>
  <c r="L6" i="13"/>
  <c r="I6" i="13"/>
  <c r="AP6" i="13"/>
  <c r="AV6" i="13"/>
  <c r="S6" i="10"/>
  <c r="P6" i="10"/>
  <c r="M6" i="10"/>
  <c r="J6" i="10"/>
  <c r="AH6" i="10"/>
  <c r="AE6" i="10"/>
  <c r="Y6" i="10"/>
  <c r="AO6" i="8"/>
  <c r="O6" i="8"/>
  <c r="V6" i="12"/>
  <c r="S6" i="12"/>
  <c r="P6" i="12"/>
  <c r="M6" i="12"/>
  <c r="AH6" i="12"/>
  <c r="AD6" i="8"/>
  <c r="U6" i="8"/>
  <c r="J6" i="12"/>
  <c r="AB6" i="12"/>
  <c r="AB6" i="10"/>
  <c r="I6" i="8"/>
  <c r="L6" i="8"/>
  <c r="R6" i="8"/>
  <c r="AG6" i="8"/>
  <c r="I6" i="6"/>
  <c r="L6" i="6"/>
  <c r="O6" i="6"/>
  <c r="AG6" i="6"/>
  <c r="AJ6" i="6"/>
  <c r="AL54" i="6"/>
  <c r="AM55" i="10" l="1"/>
  <c r="AQ6" i="8"/>
  <c r="AL26" i="6"/>
  <c r="AL18" i="6"/>
  <c r="AL10" i="6"/>
  <c r="AL44" i="6"/>
  <c r="AL57" i="6"/>
  <c r="AM50" i="10"/>
  <c r="AM41" i="10"/>
  <c r="AX45" i="13"/>
  <c r="AL72" i="6"/>
  <c r="AL48" i="6"/>
  <c r="AQ48" i="8"/>
  <c r="AQ40" i="8"/>
  <c r="AQ16" i="8"/>
  <c r="AQ8" i="8"/>
  <c r="AQ37" i="8"/>
  <c r="AQ66" i="8"/>
  <c r="AQ58" i="8"/>
  <c r="AQ18" i="8"/>
  <c r="AQ63" i="8"/>
  <c r="AM65" i="10"/>
  <c r="AM27" i="10"/>
  <c r="AQ57" i="8"/>
  <c r="AX23" i="13"/>
  <c r="AX21" i="13"/>
  <c r="AL71" i="6"/>
  <c r="AL31" i="6"/>
  <c r="AL23" i="6"/>
  <c r="AL25" i="6"/>
  <c r="AL17" i="6"/>
  <c r="AL9" i="6"/>
  <c r="AQ17" i="8"/>
  <c r="AX29" i="13"/>
  <c r="AX36" i="13"/>
  <c r="AL56" i="6"/>
  <c r="AL16" i="6"/>
  <c r="AX63" i="13"/>
  <c r="AQ35" i="8"/>
  <c r="AL62" i="6"/>
  <c r="AX51" i="13"/>
  <c r="AX27" i="13"/>
  <c r="AX11" i="13"/>
  <c r="AL45" i="6"/>
  <c r="AL47" i="6"/>
  <c r="AL39" i="6"/>
  <c r="AQ60" i="8"/>
  <c r="AQ12" i="8"/>
  <c r="AM43" i="10"/>
  <c r="AM37" i="10"/>
  <c r="AM21" i="10"/>
  <c r="AM58" i="10"/>
  <c r="AM42" i="10"/>
  <c r="AM18" i="10"/>
  <c r="AM44" i="10"/>
  <c r="AM36" i="10"/>
  <c r="AM28" i="10"/>
  <c r="AM20" i="10"/>
  <c r="AM62" i="10"/>
  <c r="AM46" i="10"/>
  <c r="AM38" i="10"/>
  <c r="AM30" i="10"/>
  <c r="AM22" i="10"/>
  <c r="AM64" i="10"/>
  <c r="AM48" i="10"/>
  <c r="AM24" i="10"/>
  <c r="AM47" i="10"/>
  <c r="AM49" i="10"/>
  <c r="AM33" i="10"/>
  <c r="AM25" i="10"/>
  <c r="AM69" i="10"/>
  <c r="AL67" i="6"/>
  <c r="AL35" i="6"/>
  <c r="AQ55" i="8"/>
  <c r="AQ28" i="8"/>
  <c r="AM66" i="10"/>
  <c r="AM35" i="10"/>
  <c r="AX19" i="13"/>
  <c r="AX58" i="13"/>
  <c r="AX26" i="13"/>
  <c r="AQ50" i="8"/>
  <c r="AQ26" i="8"/>
  <c r="AX44" i="13"/>
  <c r="AX12" i="13"/>
  <c r="AX28" i="13"/>
  <c r="AX55" i="13"/>
  <c r="AX32" i="13"/>
  <c r="AX41" i="13"/>
  <c r="AX33" i="13"/>
  <c r="AX17" i="13"/>
  <c r="AL60" i="6"/>
  <c r="AL52" i="6"/>
  <c r="AL22" i="6"/>
  <c r="AL14" i="6"/>
  <c r="AL33" i="6"/>
  <c r="AL43" i="6"/>
  <c r="AL20" i="6"/>
  <c r="AQ19" i="8"/>
  <c r="AQ61" i="8"/>
  <c r="AQ53" i="8"/>
  <c r="AM23" i="10"/>
  <c r="AM29" i="10"/>
  <c r="AQ36" i="8"/>
  <c r="AX18" i="13"/>
  <c r="AL46" i="6"/>
  <c r="AM32" i="10"/>
  <c r="AM67" i="10"/>
  <c r="AM19" i="10"/>
  <c r="AM53" i="10"/>
  <c r="AQ67" i="8"/>
  <c r="AX9" i="13"/>
  <c r="AL61" i="6"/>
  <c r="AL15" i="6"/>
  <c r="AL27" i="6"/>
  <c r="AQ15" i="8"/>
  <c r="AQ45" i="8"/>
  <c r="AQ33" i="8"/>
  <c r="AX59" i="13"/>
  <c r="AX16" i="13"/>
  <c r="AX46" i="13"/>
  <c r="AX22" i="13"/>
  <c r="AX14" i="13"/>
  <c r="AX39" i="13"/>
  <c r="AX64" i="13"/>
  <c r="AX48" i="13"/>
  <c r="AX24" i="13"/>
  <c r="AL8" i="6"/>
  <c r="AL51" i="6"/>
  <c r="AL29" i="6"/>
  <c r="AL13" i="6"/>
  <c r="AL49" i="6"/>
  <c r="AQ34" i="8"/>
  <c r="AQ10" i="8"/>
  <c r="AQ68" i="8"/>
  <c r="AQ65" i="8"/>
  <c r="AM60" i="10"/>
  <c r="AM52" i="10"/>
  <c r="AM70" i="10"/>
  <c r="AM54" i="10"/>
  <c r="AM40" i="10"/>
  <c r="AX43" i="13"/>
  <c r="AL69" i="6"/>
  <c r="AL38" i="6"/>
  <c r="AL59" i="6"/>
  <c r="AQ52" i="8"/>
  <c r="AQ20" i="8"/>
  <c r="AM51" i="10"/>
  <c r="AM61" i="10"/>
  <c r="AQ11" i="8"/>
  <c r="AX8" i="13"/>
  <c r="AL68" i="6"/>
  <c r="AQ46" i="8"/>
  <c r="AX53" i="13"/>
  <c r="AX38" i="13"/>
  <c r="AX61" i="13"/>
  <c r="AX54" i="13"/>
  <c r="AX15" i="13"/>
  <c r="AL73" i="6"/>
  <c r="AL65" i="6"/>
  <c r="AL58" i="6"/>
  <c r="AL50" i="6"/>
  <c r="AL42" i="6"/>
  <c r="AL63" i="6"/>
  <c r="AL55" i="6"/>
  <c r="AL64" i="6"/>
  <c r="AL41" i="6"/>
  <c r="AL12" i="6"/>
  <c r="AQ56" i="8"/>
  <c r="AQ59" i="8"/>
  <c r="AQ64" i="8"/>
  <c r="AL34" i="6"/>
  <c r="AM17" i="10"/>
  <c r="AM9" i="10"/>
  <c r="AM57" i="10"/>
  <c r="AM59" i="10"/>
  <c r="AM8" i="10"/>
  <c r="AM15" i="10"/>
  <c r="AQ39" i="8"/>
  <c r="AQ13" i="8"/>
  <c r="AQ31" i="8"/>
  <c r="AX37" i="13"/>
  <c r="AX13" i="13"/>
  <c r="AL40" i="6"/>
  <c r="AL37" i="6"/>
  <c r="AL66" i="6"/>
  <c r="AL24" i="6"/>
  <c r="AQ62" i="8"/>
  <c r="AQ54" i="8"/>
  <c r="AQ14" i="8"/>
  <c r="AM34" i="10"/>
  <c r="AM26" i="10"/>
  <c r="AM68" i="10"/>
  <c r="AM73" i="10"/>
  <c r="AM13" i="10"/>
  <c r="AM71" i="10"/>
  <c r="AM63" i="10"/>
  <c r="AM39" i="10"/>
  <c r="AM31" i="10"/>
  <c r="AL6" i="6"/>
  <c r="AQ23" i="8"/>
  <c r="AX42" i="13"/>
  <c r="AX34" i="13"/>
  <c r="AX60" i="13"/>
  <c r="AX52" i="13"/>
  <c r="AX20" i="13"/>
  <c r="AL70" i="6"/>
  <c r="AL32" i="6"/>
  <c r="AL28" i="6"/>
  <c r="AL21" i="6"/>
  <c r="AL53" i="6"/>
  <c r="AQ38" i="8"/>
  <c r="AQ32" i="8"/>
  <c r="AQ24" i="8"/>
  <c r="AQ29" i="8"/>
  <c r="AQ21" i="8"/>
  <c r="AM11" i="10"/>
  <c r="AM72" i="10"/>
  <c r="AM16" i="10"/>
  <c r="AJ9" i="12"/>
  <c r="AM45" i="10"/>
  <c r="AQ47" i="8"/>
  <c r="AX30" i="13"/>
  <c r="AQ44" i="8"/>
  <c r="AX31" i="13"/>
  <c r="AX57" i="13"/>
  <c r="AX35" i="13"/>
  <c r="AQ51" i="8"/>
  <c r="AX62" i="13"/>
  <c r="AX40" i="13"/>
  <c r="AX25" i="13"/>
  <c r="AX50" i="13"/>
  <c r="AX10" i="13"/>
  <c r="AQ49" i="8"/>
  <c r="AQ41" i="8"/>
  <c r="AQ9" i="8"/>
  <c r="AQ30" i="8"/>
  <c r="AQ22" i="8"/>
  <c r="AQ43" i="8"/>
  <c r="AQ27" i="8"/>
  <c r="AM56" i="10"/>
  <c r="AM10" i="10"/>
  <c r="AM12" i="10"/>
</calcChain>
</file>

<file path=xl/sharedStrings.xml><?xml version="1.0" encoding="utf-8"?>
<sst xmlns="http://schemas.openxmlformats.org/spreadsheetml/2006/main" count="1078" uniqueCount="602">
  <si>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</si>
  <si>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</si>
  <si>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</si>
  <si>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</si>
  <si>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</si>
  <si>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</si>
  <si>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</si>
  <si>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</si>
  <si>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</si>
  <si>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</si>
  <si>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</si>
  <si>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</si>
  <si>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</si>
  <si>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</si>
  <si>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</si>
  <si>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</si>
  <si>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</si>
  <si>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</si>
  <si>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</si>
  <si>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</si>
  <si>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</si>
  <si>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</si>
  <si>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</si>
  <si>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</si>
  <si>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</si>
  <si>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</si>
  <si>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</si>
  <si>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</si>
  <si>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</si>
  <si>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</si>
  <si>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</si>
  <si>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</si>
  <si>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</si>
  <si>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</si>
  <si>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>Shivani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</si>
  <si>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</si>
  <si>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</si>
  <si>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</si>
  <si>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</si>
  <si>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</si>
  <si>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</si>
  <si>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</si>
  <si>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</si>
  <si>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</si>
  <si>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</si>
  <si>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</si>
  <si>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</si>
  <si>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</si>
  <si>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</si>
  <si>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</si>
  <si>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</si>
  <si>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</si>
  <si>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</si>
  <si>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</si>
  <si>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</si>
  <si>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</si>
  <si>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</si>
  <si>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</si>
  <si>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</si>
  <si>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</si>
  <si>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</si>
  <si>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</si>
  <si>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</si>
  <si>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</si>
  <si>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</si>
  <si>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</si>
  <si>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</si>
  <si>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</si>
  <si>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</si>
  <si>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</si>
  <si>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</si>
  <si>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</si>
  <si>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</si>
  <si>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</si>
  <si>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</si>
  <si>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</si>
  <si>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</si>
  <si>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</si>
  <si>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</si>
  <si>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</si>
  <si>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</si>
  <si>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</si>
  <si>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</si>
  <si>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</si>
  <si>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</si>
  <si>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</si>
  <si>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</si>
  <si>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</si>
  <si>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</si>
  <si>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</si>
  <si>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</si>
  <si>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</si>
  <si>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</si>
  <si>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</si>
  <si>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</si>
  <si>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</si>
  <si>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</si>
  <si>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</si>
  <si>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</si>
  <si>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</si>
  <si>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</si>
  <si>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</si>
  <si>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</si>
  <si>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</si>
  <si>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</si>
  <si>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</si>
  <si>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</si>
  <si>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</si>
  <si>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</si>
  <si>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</si>
  <si>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</si>
  <si>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</si>
  <si>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</si>
  <si>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</si>
  <si>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</si>
  <si>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</si>
  <si>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</si>
  <si>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</si>
  <si>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</si>
  <si>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</si>
  <si>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</si>
  <si>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</si>
  <si>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</si>
  <si>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</si>
  <si>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</si>
  <si>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</si>
  <si>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</si>
  <si>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</si>
  <si>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</si>
  <si>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</si>
  <si>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</si>
  <si>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</si>
  <si>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</si>
  <si>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</si>
  <si>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</si>
  <si>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</si>
  <si>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</si>
  <si>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</si>
  <si>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</si>
  <si>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</si>
  <si>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</si>
  <si>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</si>
  <si>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</si>
  <si>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</si>
  <si>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</si>
  <si>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</si>
  <si>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</si>
  <si>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</si>
  <si>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</si>
  <si>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</si>
  <si>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</si>
  <si>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</si>
  <si>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</si>
  <si>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</si>
  <si>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</si>
  <si>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</si>
  <si>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</si>
  <si>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</si>
  <si>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</si>
  <si>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</si>
  <si>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</si>
  <si>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</si>
  <si>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</si>
  <si>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</si>
  <si>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</si>
  <si>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</si>
  <si>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</si>
  <si>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</si>
  <si>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</si>
  <si>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</si>
  <si>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</si>
  <si>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</si>
  <si>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</si>
  <si>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</si>
  <si>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</si>
  <si>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</si>
  <si>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</si>
  <si>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</si>
  <si>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</si>
  <si>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</si>
  <si>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</si>
  <si>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</si>
  <si>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</si>
  <si>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</si>
  <si>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</si>
  <si>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</si>
  <si>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</si>
  <si>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</si>
  <si>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</si>
  <si>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</si>
  <si>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</si>
  <si>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</si>
  <si>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</si>
  <si>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</si>
  <si>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</si>
  <si>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</si>
  <si>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</si>
  <si>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</si>
  <si>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</si>
  <si>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</si>
  <si>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</si>
  <si>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</si>
  <si>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</si>
  <si>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</si>
  <si>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</si>
  <si>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</si>
  <si>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</si>
  <si>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</si>
  <si>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</si>
  <si>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</si>
  <si>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</si>
  <si>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</si>
  <si>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</si>
  <si>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</si>
  <si>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</si>
  <si>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</si>
  <si>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</si>
  <si>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</si>
  <si>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</si>
  <si>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</si>
  <si>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</si>
  <si>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</si>
  <si>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</si>
  <si>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</si>
  <si>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</si>
  <si>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</si>
  <si>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</si>
  <si>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</si>
  <si>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</si>
  <si>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</si>
  <si>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</si>
  <si>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</si>
  <si>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</si>
  <si>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</si>
  <si>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</si>
  <si>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</si>
  <si>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</si>
  <si>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</si>
  <si>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</si>
  <si>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</si>
  <si>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</si>
  <si>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</si>
  <si>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</si>
  <si>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</si>
  <si>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</si>
  <si>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</si>
  <si>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</si>
  <si>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</si>
  <si>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</si>
  <si>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</si>
  <si>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</si>
  <si>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</si>
  <si>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</si>
  <si>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</si>
  <si>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</si>
  <si>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</si>
  <si>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</si>
  <si>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</si>
  <si>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</si>
  <si>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</si>
  <si>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</si>
  <si>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</si>
  <si>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</si>
  <si>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</si>
  <si>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</si>
  <si>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</si>
  <si>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</si>
  <si>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</si>
  <si>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</si>
  <si>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</si>
  <si>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</si>
  <si>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</si>
  <si>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</si>
  <si>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</si>
  <si>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</si>
  <si>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</si>
  <si>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</si>
  <si>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</si>
  <si>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</si>
  <si>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</si>
  <si>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</si>
  <si>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</si>
  <si>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</si>
  <si>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</si>
  <si>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</si>
  <si>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</si>
  <si>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</si>
  <si>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</si>
  <si>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</si>
  <si>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</si>
  <si>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</si>
  <si>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</si>
  <si>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</si>
  <si>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</si>
  <si>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</si>
  <si>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</si>
  <si>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</si>
  <si>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</si>
  <si>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</si>
  <si>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</si>
  <si>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</si>
  <si>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</si>
  <si>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</si>
  <si>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</si>
  <si>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</si>
  <si>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</si>
  <si>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</si>
  <si>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</si>
  <si>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</si>
  <si>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</si>
  <si>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</si>
  <si>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</si>
  <si>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</si>
  <si>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</si>
  <si>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</si>
  <si>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</si>
  <si>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</si>
  <si>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</si>
  <si>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</si>
  <si>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</si>
  <si>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</si>
  <si>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</si>
  <si>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</si>
  <si>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</si>
  <si>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</si>
  <si>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</si>
  <si>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</si>
  <si>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</si>
  <si>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</si>
  <si>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</si>
  <si>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</si>
  <si>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</si>
  <si>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</si>
  <si>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</si>
  <si>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</si>
  <si>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</si>
  <si>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</si>
  <si>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</si>
  <si>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</si>
  <si>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</si>
  <si>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</si>
  <si>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</si>
  <si>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</si>
  <si>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</si>
  <si>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</si>
  <si>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</si>
  <si>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</si>
  <si>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</si>
  <si>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</si>
  <si>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</si>
  <si>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</si>
  <si>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</si>
  <si>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Ram Singh Bisht 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</si>
  <si>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</si>
  <si>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</si>
  <si>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</si>
  <si>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</si>
  <si>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</si>
  <si>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</si>
  <si>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</si>
  <si>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</si>
  <si>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</si>
  <si>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</si>
  <si>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</si>
  <si>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</si>
  <si>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</si>
  <si>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</si>
  <si>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</si>
  <si>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</si>
  <si>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</si>
  <si>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</si>
  <si>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</si>
  <si>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</si>
  <si>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</si>
  <si>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</si>
  <si>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</si>
  <si>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</si>
  <si>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</si>
  <si>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</si>
  <si>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</si>
  <si>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</si>
  <si>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</si>
  <si>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</si>
  <si>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</si>
  <si>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</si>
  <si>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</si>
  <si>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</si>
  <si>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</si>
  <si>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</si>
  <si>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</si>
  <si>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</si>
  <si>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</si>
  <si>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</si>
  <si>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</si>
  <si>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</si>
  <si>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</si>
  <si>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</si>
  <si>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</si>
  <si>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</si>
  <si>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</si>
  <si>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</si>
  <si>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</si>
  <si>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</si>
  <si>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 xml:space="preserve">Bhadur Singh Aswal 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</si>
  <si>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</si>
  <si>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</si>
  <si>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</si>
  <si>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</si>
  <si>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</si>
  <si>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</si>
  <si>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</si>
  <si>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</si>
  <si>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</si>
  <si>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</si>
  <si>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</si>
  <si>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</si>
  <si>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</si>
  <si>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</si>
  <si>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</si>
  <si>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</si>
  <si>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</si>
  <si>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</si>
  <si>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</si>
  <si>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</si>
  <si>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</si>
  <si>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</si>
  <si>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</si>
  <si>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</si>
  <si>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</si>
  <si>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</si>
  <si>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</si>
  <si>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</si>
  <si>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</si>
  <si>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</si>
  <si>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</si>
  <si>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</si>
  <si>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</si>
  <si>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</si>
  <si>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</si>
  <si>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</si>
  <si>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</si>
  <si>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</si>
  <si>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</si>
  <si>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</si>
  <si>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</si>
  <si>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</si>
  <si>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</si>
  <si>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</si>
  <si>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</si>
  <si>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</si>
  <si>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</si>
  <si>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</si>
  <si>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</si>
  <si>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</si>
  <si>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</si>
  <si>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</si>
  <si>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</si>
  <si>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</si>
  <si>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</si>
  <si>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</si>
  <si>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</si>
  <si>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</si>
  <si>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</si>
  <si>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</si>
  <si>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</si>
  <si>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</si>
  <si>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</si>
  <si>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</si>
  <si>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</si>
  <si>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</si>
  <si>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</si>
  <si>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</si>
  <si>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</si>
  <si>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</si>
  <si>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</si>
  <si>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</si>
  <si>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 xml:space="preserve">Manvendra Singh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</si>
  <si>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</si>
  <si>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</si>
  <si>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</si>
  <si>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</si>
  <si>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</si>
  <si>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</si>
  <si>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</si>
  <si>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</si>
  <si>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</si>
  <si>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</si>
  <si>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</si>
  <si>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 xml:space="preserve">Shubhang </t>
  </si>
  <si>
    <t>Satya Prakash Sharma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</si>
  <si>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</si>
  <si>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</si>
  <si>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</si>
  <si>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</si>
  <si>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</si>
  <si>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</si>
  <si>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</si>
  <si>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</si>
  <si>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</si>
  <si>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</si>
  <si>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</si>
  <si>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</si>
  <si>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>Gaurav Singh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</si>
  <si>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</si>
  <si>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</si>
  <si>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</si>
  <si>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</si>
  <si>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</si>
  <si>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</si>
  <si>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</si>
  <si>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</si>
  <si>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</si>
  <si>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</si>
  <si>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</si>
  <si>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</si>
  <si>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</si>
  <si>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</si>
  <si>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</si>
  <si>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</si>
  <si>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</si>
  <si>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</si>
  <si>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</si>
  <si>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</si>
  <si>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</si>
  <si>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G.P.               GPP 241         ($)</t>
  </si>
  <si>
    <t>Abhishek Bisht</t>
  </si>
  <si>
    <t>Arjun Singh Bisht</t>
  </si>
  <si>
    <t>Instt.  ID</t>
  </si>
  <si>
    <t>Power System-I    TEE 351</t>
  </si>
  <si>
    <t>Control System     TEE 352</t>
  </si>
  <si>
    <t>Power Electronics     TEE 353</t>
  </si>
  <si>
    <t>High Voltage Engineering        EEE 313</t>
  </si>
  <si>
    <t>Power Systems Lab     PEE 351</t>
  </si>
  <si>
    <t>Control Systm Lab PEE 352</t>
  </si>
  <si>
    <t>Summer Industry Internship         PEE 354</t>
  </si>
  <si>
    <t>Database Managemetn Systems              TCS 351</t>
  </si>
  <si>
    <t>Formal Langauge &amp; Automata Theory              TCS 353</t>
  </si>
  <si>
    <t>Signal &amp; Systems        THS 351</t>
  </si>
  <si>
    <t>Principles of Management                                      THS 351</t>
  </si>
  <si>
    <t>Software Engineering           ECS 311</t>
  </si>
  <si>
    <t>Computer Graphics           ECS 313</t>
  </si>
  <si>
    <t>Antenna and Wave Propagation                 TEC 351</t>
  </si>
  <si>
    <t>Integrated Circuits                        TEC352</t>
  </si>
  <si>
    <t>Principles of Management               THS 351</t>
  </si>
  <si>
    <t>Electronic Switching Systems            EEC 311</t>
  </si>
  <si>
    <t>Python Programming            EEC 312</t>
  </si>
  <si>
    <t>Power Electronics            EEC 313</t>
  </si>
  <si>
    <t>Electronic Measurement           EEC 314</t>
  </si>
  <si>
    <t>Embedded Systems          EEC 321</t>
  </si>
  <si>
    <t>Artificial Neural Networks &amp; Fuzzy Logic         EEC 322</t>
  </si>
  <si>
    <t>Microwave Engineering          EEC 323</t>
  </si>
  <si>
    <t xml:space="preserve">Electronic Measurement  Lab                    PEC 352            </t>
  </si>
  <si>
    <t>Circuit Simulation  Lab                             PEC 353</t>
  </si>
  <si>
    <t>G.P.        GPP 351             ($)</t>
  </si>
  <si>
    <t>Principle of Mangement           THS 352</t>
  </si>
  <si>
    <t>Electricl Machine Design                   EEE 311</t>
  </si>
  <si>
    <t>PASS</t>
  </si>
  <si>
    <t>A</t>
  </si>
  <si>
    <t xml:space="preserve"> </t>
  </si>
  <si>
    <t>Data Base Management Systems Lab                    PCS 351</t>
  </si>
  <si>
    <t>Object Oriented Programming              PCS 352</t>
  </si>
  <si>
    <t xml:space="preserve">G.P.               GPP 351       ($)         </t>
  </si>
  <si>
    <r>
      <rPr>
        <b/>
        <sz val="16"/>
        <rFont val="Times New Roman"/>
        <family val="1"/>
      </rPr>
      <t xml:space="preserve">Micro-electronics  </t>
    </r>
    <r>
      <rPr>
        <b/>
        <sz val="18"/>
        <rFont val="Times New Roman"/>
        <family val="1"/>
      </rPr>
      <t xml:space="preserve">         EEC 324</t>
    </r>
  </si>
  <si>
    <t>Envorinmental Sustainability &amp; Renewable Energy      TOE  26</t>
  </si>
  <si>
    <t>Biofuels and Bioenergy             TOE  27</t>
  </si>
  <si>
    <t>Environmental Engineering-I        TCE 351</t>
  </si>
  <si>
    <t>Structuctural                          Analysis-II               TCE 354</t>
  </si>
  <si>
    <t>Transportation Enginering         TCE  353</t>
  </si>
  <si>
    <t>Concrete Technology                 ECE 311</t>
  </si>
  <si>
    <t>Soil Mechanics and  Engineering  Geology Lab                          PCE 352</t>
  </si>
  <si>
    <t xml:space="preserve"> Transportation Enginering Lab                          PCE 353</t>
  </si>
  <si>
    <t>Concrete Technology   Lab                          PCE 311</t>
  </si>
  <si>
    <t>TABULATION CHART FOR B. TECH. (ELECTRONICS &amp; COMM. ENGINEERING) THIRD YEAR FIFTH  SEMESTER EXAMINATION DECEMBER 2020( HELD IN APRIL 2021)</t>
  </si>
  <si>
    <t>TABULATION CHART FOR  B. TECH. (COMPUTER SCIENCE &amp; ENGINEERING) THIRD YEAR FIFTH  SEMESTER EXAMINATION DECEMBER 2020( HELD IN APRIL 2021)</t>
  </si>
  <si>
    <t>TABULATION CHART FOR B. TECH. ( ELECTRICAL ENGINEERING) THIRD YEAR FIFTH  SEMESTER EXAMINATION DECEMBER 2020( HELD IN APRIL 2021)</t>
  </si>
  <si>
    <t>TABULATION CHART FOR  B. TECH.(CIVIL ENGINEERING) THIRD YEAR FIFTH  SEMESTER EXAMINATION DECEMBER 2020( HELD IN APRIL 2021)</t>
  </si>
  <si>
    <t>TABULATION CHART FOR  B. TECH. ( BIOTECHNOLOGY) THIRD YEAR FIFTH  SEMESTER EXAMINATION DECEMBER 2020( HELD IN APRIL 2021)</t>
  </si>
  <si>
    <t>G.P.               GPP 351         ($)</t>
  </si>
  <si>
    <t>Bioinformatics                TBT 351</t>
  </si>
  <si>
    <t>Bioprocess Engineering       TBT 352</t>
  </si>
  <si>
    <t>Bianalytical Technology            TBT 354</t>
  </si>
  <si>
    <t xml:space="preserve">Bioethics &amp; Biosafety              THS 351 </t>
  </si>
  <si>
    <t>Biofuel &amp; Alcohol          EBT 312</t>
  </si>
  <si>
    <t>Bioprocess Engineering Lab                     PBT 352</t>
  </si>
  <si>
    <t>Recombinant DNA Technology Lab                     PBT 353</t>
  </si>
  <si>
    <t>G+1</t>
  </si>
  <si>
    <t>Object Oriented Programming                           TCS 352</t>
  </si>
  <si>
    <t>Constitution of India                    TMC 351  ($)</t>
  </si>
  <si>
    <t>Recombinant DNA Technology             TBT 353</t>
  </si>
  <si>
    <t>Bioinformatics  Lab                              PBT 351</t>
  </si>
  <si>
    <t>Power Electronics Lab                      PEE 353</t>
  </si>
  <si>
    <t>CARRY OVER</t>
  </si>
  <si>
    <t>Back in PCE 352</t>
  </si>
  <si>
    <t>Hydrology                  TCE  355</t>
  </si>
  <si>
    <t xml:space="preserve"> Environmental Engineering     Lab                                    PCE 351</t>
  </si>
  <si>
    <t>Soil Mechanics and  Engineering  Geology                 TCE 352</t>
  </si>
  <si>
    <t>RF Engineering  Lab                                 PEC 351</t>
  </si>
  <si>
    <t>Back in PCE 352, PCE 353</t>
  </si>
  <si>
    <t>Back in PCE 352, PCE 353, PCE 311</t>
  </si>
  <si>
    <t>Back in TCE 354, PCE 352, PCE 311</t>
  </si>
  <si>
    <t>Mukesh Bahuguna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</si>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</sst>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9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sz val="18"/>
      <name val="Times New Roman"/>
      <family val="1"/>
    </font>
    <font>
      <b/>
      <sz val="17"/>
      <name val="Arial"/>
      <family val="2"/>
    </font>
    <font>
      <sz val="17"/>
      <name val="Times New Roman"/>
      <family val="1"/>
    </font>
    <font>
      <sz val="17"/>
      <name val="Arial"/>
      <family val="2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5"/>
      <color theme="1"/>
      <name val="Times New Roman"/>
      <family val="1"/>
    </font>
    <font>
      <b/>
      <sz val="17"/>
      <color rgb="FF000000"/>
      <name val="Times New Roman"/>
      <family val="1"/>
    </font>
    <font>
      <b/>
      <sz val="17"/>
      <color theme="1"/>
      <name val="Times New Roman"/>
      <family val="1"/>
    </font>
    <font>
      <sz val="1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94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" fontId="9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0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6" fillId="0" borderId="0" xfId="0" applyFont="1"/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left" vertical="center"/>
    </xf>
    <xf numFmtId="0" fontId="15" fillId="0" borderId="0" xfId="0" applyFont="1"/>
    <xf numFmtId="1" fontId="9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justify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" fontId="14" fillId="2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1" fontId="12" fillId="0" borderId="4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/>
    <xf numFmtId="0" fontId="32" fillId="0" borderId="1" xfId="0" applyFont="1" applyBorder="1" applyAlignment="1">
      <alignment horizontal="justify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1" fontId="19" fillId="2" borderId="3" xfId="0" applyNumberFormat="1" applyFont="1" applyFill="1" applyBorder="1" applyAlignment="1">
      <alignment horizontal="center" vertical="center" wrapText="1"/>
    </xf>
    <xf numFmtId="1" fontId="20" fillId="0" borderId="5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justify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justify" vertical="center" wrapText="1"/>
    </xf>
    <xf numFmtId="1" fontId="19" fillId="2" borderId="1" xfId="0" applyNumberFormat="1" applyFont="1" applyFill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22" fillId="0" borderId="1" xfId="0" applyFont="1" applyBorder="1"/>
    <xf numFmtId="0" fontId="19" fillId="2" borderId="1" xfId="0" applyFont="1" applyFill="1" applyBorder="1" applyAlignment="1">
      <alignment vertical="center"/>
    </xf>
    <xf numFmtId="0" fontId="21" fillId="2" borderId="1" xfId="0" applyFont="1" applyFill="1" applyBorder="1"/>
    <xf numFmtId="1" fontId="20" fillId="2" borderId="1" xfId="0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/>
    <xf numFmtId="0" fontId="23" fillId="0" borderId="0" xfId="0" applyFont="1"/>
    <xf numFmtId="1" fontId="14" fillId="0" borderId="2" xfId="0" applyNumberFormat="1" applyFont="1" applyBorder="1" applyAlignment="1">
      <alignment horizontal="center" vertical="center"/>
    </xf>
    <xf numFmtId="0" fontId="9" fillId="2" borderId="0" xfId="0" applyFont="1" applyFill="1"/>
    <xf numFmtId="2" fontId="9" fillId="0" borderId="1" xfId="0" applyNumberFormat="1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19" fillId="2" borderId="0" xfId="0" applyFont="1" applyFill="1"/>
    <xf numFmtId="0" fontId="19" fillId="0" borderId="0" xfId="0" applyFont="1"/>
    <xf numFmtId="0" fontId="8" fillId="0" borderId="0" xfId="0" applyFont="1"/>
    <xf numFmtId="2" fontId="14" fillId="3" borderId="1" xfId="0" applyNumberFormat="1" applyFont="1" applyFill="1" applyBorder="1" applyAlignment="1">
      <alignment horizontal="center" vertical="center"/>
    </xf>
    <xf numFmtId="1" fontId="33" fillId="2" borderId="1" xfId="0" applyNumberFormat="1" applyFont="1" applyFill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/>
    </xf>
    <xf numFmtId="1" fontId="25" fillId="2" borderId="1" xfId="0" applyNumberFormat="1" applyFont="1" applyFill="1" applyBorder="1" applyAlignment="1">
      <alignment horizontal="left" vertical="center"/>
    </xf>
    <xf numFmtId="0" fontId="34" fillId="0" borderId="1" xfId="0" applyFont="1" applyBorder="1" applyAlignment="1">
      <alignment vertical="center" wrapText="1"/>
    </xf>
    <xf numFmtId="1" fontId="19" fillId="2" borderId="1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justify" vertical="center" wrapText="1"/>
    </xf>
    <xf numFmtId="0" fontId="19" fillId="2" borderId="2" xfId="0" applyFont="1" applyFill="1" applyBorder="1" applyAlignment="1">
      <alignment horizontal="justify" vertical="center" wrapText="1"/>
    </xf>
    <xf numFmtId="0" fontId="19" fillId="2" borderId="4" xfId="0" applyFont="1" applyFill="1" applyBorder="1" applyAlignment="1">
      <alignment vertical="center"/>
    </xf>
    <xf numFmtId="0" fontId="30" fillId="0" borderId="1" xfId="0" applyFont="1" applyBorder="1" applyAlignment="1">
      <alignment horizontal="center" vertical="center" wrapText="1"/>
    </xf>
    <xf numFmtId="0" fontId="19" fillId="2" borderId="1" xfId="0" applyFont="1" applyFill="1" applyBorder="1"/>
    <xf numFmtId="1" fontId="36" fillId="0" borderId="1" xfId="0" applyNumberFormat="1" applyFont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37" fillId="2" borderId="1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1" fontId="24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3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6" xfId="0" applyNumberFormat="1" applyFont="1" applyFill="1" applyBorder="1" applyAlignment="1">
      <alignment horizontal="center" vertical="center" wrapText="1"/>
    </xf>
    <xf numFmtId="1" fontId="11" fillId="2" borderId="8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2" borderId="6" xfId="0" applyNumberFormat="1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" fontId="13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123825</xdr:rowOff>
    </xdr:from>
    <xdr:ext cx="19110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BB5D81-7F3D-4FBC-95F4-73DCAC9CD641}"/>
            </a:ext>
          </a:extLst>
        </xdr:cNvPr>
        <xdr:cNvSpPr txBox="1"/>
      </xdr:nvSpPr>
      <xdr:spPr>
        <a:xfrm>
          <a:off x="14478289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34925</xdr:colOff>
      <xdr:row>4</xdr:row>
      <xdr:rowOff>123825</xdr:rowOff>
    </xdr:from>
    <xdr:ext cx="19110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3EF962-0C2A-4F96-ACF7-13D30F2FB7DD}"/>
            </a:ext>
          </a:extLst>
        </xdr:cNvPr>
        <xdr:cNvSpPr txBox="1"/>
      </xdr:nvSpPr>
      <xdr:spPr>
        <a:xfrm>
          <a:off x="16348652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34925</xdr:colOff>
      <xdr:row>4</xdr:row>
      <xdr:rowOff>123825</xdr:rowOff>
    </xdr:from>
    <xdr:ext cx="19110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B15F09-3CA9-4884-825D-2B8155301226}"/>
            </a:ext>
          </a:extLst>
        </xdr:cNvPr>
        <xdr:cNvSpPr txBox="1"/>
      </xdr:nvSpPr>
      <xdr:spPr>
        <a:xfrm>
          <a:off x="18374880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28</xdr:col>
      <xdr:colOff>34925</xdr:colOff>
      <xdr:row>4</xdr:row>
      <xdr:rowOff>123825</xdr:rowOff>
    </xdr:from>
    <xdr:ext cx="19110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FB69F0-5E87-44D6-84BD-F1E1A8D8704D}"/>
            </a:ext>
          </a:extLst>
        </xdr:cNvPr>
        <xdr:cNvSpPr txBox="1"/>
      </xdr:nvSpPr>
      <xdr:spPr>
        <a:xfrm>
          <a:off x="25336789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22</xdr:col>
      <xdr:colOff>34925</xdr:colOff>
      <xdr:row>4</xdr:row>
      <xdr:rowOff>123825</xdr:rowOff>
    </xdr:from>
    <xdr:ext cx="197926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BC356C-95BB-490B-9034-EB9C5D68501D}"/>
            </a:ext>
          </a:extLst>
        </xdr:cNvPr>
        <xdr:cNvSpPr txBox="1"/>
      </xdr:nvSpPr>
      <xdr:spPr>
        <a:xfrm>
          <a:off x="20712834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25</xdr:col>
      <xdr:colOff>34925</xdr:colOff>
      <xdr:row>4</xdr:row>
      <xdr:rowOff>123825</xdr:rowOff>
    </xdr:from>
    <xdr:ext cx="19792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A6DEE0-C7AD-47C7-94F2-59CB10FF627A}"/>
            </a:ext>
          </a:extLst>
        </xdr:cNvPr>
        <xdr:cNvSpPr txBox="1"/>
      </xdr:nvSpPr>
      <xdr:spPr>
        <a:xfrm>
          <a:off x="23050789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15875</xdr:colOff>
      <xdr:row>4</xdr:row>
      <xdr:rowOff>152400</xdr:rowOff>
    </xdr:from>
    <xdr:ext cx="200936" cy="28345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62C378-57BE-42B3-8253-AC232F6B27AF}"/>
            </a:ext>
          </a:extLst>
        </xdr:cNvPr>
        <xdr:cNvSpPr txBox="1"/>
      </xdr:nvSpPr>
      <xdr:spPr>
        <a:xfrm>
          <a:off x="12699795" y="42754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577850</xdr:colOff>
      <xdr:row>4</xdr:row>
      <xdr:rowOff>133350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4E355A-687A-45A5-A631-1959CDEC5A5F}"/>
            </a:ext>
          </a:extLst>
        </xdr:cNvPr>
        <xdr:cNvSpPr txBox="1"/>
      </xdr:nvSpPr>
      <xdr:spPr>
        <a:xfrm>
          <a:off x="14649450" y="47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73"/>
  <sheetViews>
    <sheetView topLeftCell="A34" zoomScale="55" zoomScaleNormal="55" zoomScaleSheetLayoutView="100" workbookViewId="0">
      <selection activeCell="D37" sqref="D37"/>
    </sheetView>
  </sheetViews>
  <sheetFormatPr defaultColWidth="9.1796875" defaultRowHeight="18" customHeight="1" x14ac:dyDescent="0.25"/>
  <cols>
    <col min="1" max="1" width="9.1796875" style="10"/>
    <col min="2" max="2" width="28.26953125" style="10" customWidth="1"/>
    <col min="3" max="3" width="28.81640625" style="10" customWidth="1"/>
    <col min="4" max="4" width="32.81640625" style="11" customWidth="1"/>
    <col min="5" max="5" width="32.26953125" style="11" customWidth="1"/>
    <col min="6" max="6" width="13.7265625" style="12" customWidth="1"/>
    <col min="7" max="11" width="9.453125" style="10" customWidth="1"/>
    <col min="12" max="12" width="15.453125" style="10" customWidth="1"/>
    <col min="13" max="18" width="9.453125" style="10" customWidth="1"/>
    <col min="19" max="27" width="11.7265625" style="10" customWidth="1"/>
    <col min="28" max="30" width="10.81640625" style="10" customWidth="1"/>
    <col min="31" max="36" width="9.453125" style="10" customWidth="1"/>
    <col min="37" max="38" width="17.1796875" style="10" customWidth="1"/>
    <col min="39" max="39" width="20" style="10" customWidth="1"/>
    <col min="40" max="40" width="15.81640625" style="10" customWidth="1"/>
    <col min="41" max="16384" width="9.1796875" style="10"/>
  </cols>
  <sheetData>
    <row r="1" spans="1:40" ht="66.75" customHeight="1" x14ac:dyDescent="0.25">
      <c r="A1" s="163" t="s">
        <v>18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 ht="66.75" customHeight="1" x14ac:dyDescent="0.25">
      <c r="A2" s="163" t="s">
        <v>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</row>
    <row r="3" spans="1:40" ht="66.75" customHeight="1" x14ac:dyDescent="0.25">
      <c r="A3" s="179" t="s">
        <v>573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</row>
    <row r="4" spans="1:40" ht="156" customHeight="1" x14ac:dyDescent="0.25">
      <c r="A4" s="171" t="s">
        <v>20</v>
      </c>
      <c r="B4" s="174" t="s">
        <v>0</v>
      </c>
      <c r="C4" s="175" t="s">
        <v>22</v>
      </c>
      <c r="D4" s="176" t="s">
        <v>6</v>
      </c>
      <c r="E4" s="164" t="s">
        <v>10</v>
      </c>
      <c r="F4" s="13" t="s">
        <v>5</v>
      </c>
      <c r="G4" s="167" t="s">
        <v>535</v>
      </c>
      <c r="H4" s="167"/>
      <c r="I4" s="167"/>
      <c r="J4" s="167" t="s">
        <v>586</v>
      </c>
      <c r="K4" s="167"/>
      <c r="L4" s="167"/>
      <c r="M4" s="168" t="s">
        <v>536</v>
      </c>
      <c r="N4" s="169"/>
      <c r="O4" s="170"/>
      <c r="P4" s="168" t="s">
        <v>537</v>
      </c>
      <c r="Q4" s="169"/>
      <c r="R4" s="170"/>
      <c r="S4" s="167" t="s">
        <v>538</v>
      </c>
      <c r="T4" s="167"/>
      <c r="U4" s="167"/>
      <c r="V4" s="167" t="s">
        <v>539</v>
      </c>
      <c r="W4" s="167"/>
      <c r="X4" s="167"/>
      <c r="Y4" s="167" t="s">
        <v>540</v>
      </c>
      <c r="Z4" s="167"/>
      <c r="AA4" s="167"/>
      <c r="AB4" s="167" t="s">
        <v>587</v>
      </c>
      <c r="AC4" s="167"/>
      <c r="AD4" s="167"/>
      <c r="AE4" s="167" t="s">
        <v>559</v>
      </c>
      <c r="AF4" s="167"/>
      <c r="AG4" s="167"/>
      <c r="AH4" s="167" t="s">
        <v>560</v>
      </c>
      <c r="AI4" s="167"/>
      <c r="AJ4" s="167"/>
      <c r="AK4" s="124" t="s">
        <v>561</v>
      </c>
      <c r="AL4" s="124" t="s">
        <v>11</v>
      </c>
      <c r="AM4" s="124" t="s">
        <v>14</v>
      </c>
      <c r="AN4" s="125" t="s">
        <v>13</v>
      </c>
    </row>
    <row r="5" spans="1:40" ht="60.75" customHeight="1" x14ac:dyDescent="0.25">
      <c r="A5" s="172"/>
      <c r="B5" s="174"/>
      <c r="C5" s="177"/>
      <c r="D5" s="176"/>
      <c r="E5" s="165"/>
      <c r="F5" s="14"/>
      <c r="G5" s="8" t="s">
        <v>7</v>
      </c>
      <c r="H5" s="8" t="s">
        <v>8</v>
      </c>
      <c r="I5" s="8" t="s">
        <v>4</v>
      </c>
      <c r="J5" s="8" t="s">
        <v>7</v>
      </c>
      <c r="K5" s="8" t="s">
        <v>8</v>
      </c>
      <c r="L5" s="8" t="s">
        <v>4</v>
      </c>
      <c r="M5" s="8" t="s">
        <v>7</v>
      </c>
      <c r="N5" s="8" t="s">
        <v>8</v>
      </c>
      <c r="O5" s="8" t="s">
        <v>4</v>
      </c>
      <c r="P5" s="8" t="s">
        <v>7</v>
      </c>
      <c r="Q5" s="8" t="s">
        <v>8</v>
      </c>
      <c r="R5" s="8" t="s">
        <v>4</v>
      </c>
      <c r="S5" s="8" t="s">
        <v>7</v>
      </c>
      <c r="T5" s="8" t="s">
        <v>8</v>
      </c>
      <c r="U5" s="8" t="s">
        <v>4</v>
      </c>
      <c r="V5" s="8" t="s">
        <v>7</v>
      </c>
      <c r="W5" s="8" t="s">
        <v>8</v>
      </c>
      <c r="X5" s="8" t="s">
        <v>4</v>
      </c>
      <c r="Y5" s="8" t="s">
        <v>7</v>
      </c>
      <c r="Z5" s="8" t="s">
        <v>8</v>
      </c>
      <c r="AA5" s="8" t="s">
        <v>4</v>
      </c>
      <c r="AB5" s="8" t="s">
        <v>7</v>
      </c>
      <c r="AC5" s="8" t="s">
        <v>8</v>
      </c>
      <c r="AD5" s="8" t="s">
        <v>4</v>
      </c>
      <c r="AE5" s="8" t="s">
        <v>9</v>
      </c>
      <c r="AF5" s="8" t="s">
        <v>8</v>
      </c>
      <c r="AG5" s="8" t="s">
        <v>4</v>
      </c>
      <c r="AH5" s="8" t="s">
        <v>9</v>
      </c>
      <c r="AI5" s="8" t="s">
        <v>8</v>
      </c>
      <c r="AJ5" s="8" t="s">
        <v>4</v>
      </c>
      <c r="AK5" s="8"/>
      <c r="AL5" s="14"/>
      <c r="AM5" s="13"/>
      <c r="AN5" s="13"/>
    </row>
    <row r="6" spans="1:40" ht="60.75" customHeight="1" x14ac:dyDescent="0.25">
      <c r="A6" s="172"/>
      <c r="B6" s="174"/>
      <c r="C6" s="177"/>
      <c r="D6" s="176"/>
      <c r="E6" s="165"/>
      <c r="F6" s="14" t="s">
        <v>2</v>
      </c>
      <c r="G6" s="74">
        <v>120</v>
      </c>
      <c r="H6" s="74">
        <v>80</v>
      </c>
      <c r="I6" s="74">
        <f>SUM(G6:H6)</f>
        <v>200</v>
      </c>
      <c r="J6" s="74">
        <v>90</v>
      </c>
      <c r="K6" s="74">
        <v>60</v>
      </c>
      <c r="L6" s="74">
        <f>SUM(J6:K6)</f>
        <v>150</v>
      </c>
      <c r="M6" s="74">
        <v>120</v>
      </c>
      <c r="N6" s="74">
        <v>80</v>
      </c>
      <c r="O6" s="74">
        <f>SUM(M6:N6)</f>
        <v>200</v>
      </c>
      <c r="P6" s="74">
        <v>90</v>
      </c>
      <c r="Q6" s="74">
        <v>60</v>
      </c>
      <c r="R6" s="74">
        <f>SUM(P6:Q6)</f>
        <v>150</v>
      </c>
      <c r="S6" s="74">
        <v>90</v>
      </c>
      <c r="T6" s="74">
        <v>60</v>
      </c>
      <c r="U6" s="74">
        <f>SUM(S6:T6)</f>
        <v>150</v>
      </c>
      <c r="V6" s="74">
        <v>90</v>
      </c>
      <c r="W6" s="74">
        <v>60</v>
      </c>
      <c r="X6" s="74">
        <f>SUM(V6:W6)</f>
        <v>150</v>
      </c>
      <c r="Y6" s="74">
        <v>90</v>
      </c>
      <c r="Z6" s="74">
        <v>60</v>
      </c>
      <c r="AA6" s="74">
        <f>SUM(Y6:Z6)</f>
        <v>150</v>
      </c>
      <c r="AB6" s="74">
        <v>50</v>
      </c>
      <c r="AC6" s="74">
        <v>25</v>
      </c>
      <c r="AD6" s="74">
        <v>75</v>
      </c>
      <c r="AE6" s="74">
        <v>25</v>
      </c>
      <c r="AF6" s="74">
        <v>25</v>
      </c>
      <c r="AG6" s="74">
        <f>SUM(AE6:AF6)</f>
        <v>50</v>
      </c>
      <c r="AH6" s="74">
        <v>25</v>
      </c>
      <c r="AI6" s="74">
        <v>25</v>
      </c>
      <c r="AJ6" s="74">
        <f>SUM(AH6:AI6)</f>
        <v>50</v>
      </c>
      <c r="AK6" s="74">
        <v>50</v>
      </c>
      <c r="AL6" s="110">
        <f>AJ6+AG6+AA6+X6+U6+R6+O6+L6+I6-150</f>
        <v>1100</v>
      </c>
      <c r="AM6" s="15"/>
      <c r="AN6" s="44"/>
    </row>
    <row r="7" spans="1:40" ht="60.75" customHeight="1" x14ac:dyDescent="0.25">
      <c r="A7" s="173"/>
      <c r="B7" s="175"/>
      <c r="C7" s="178"/>
      <c r="D7" s="164"/>
      <c r="E7" s="166"/>
      <c r="F7" s="16" t="s">
        <v>3</v>
      </c>
      <c r="G7" s="122">
        <v>36</v>
      </c>
      <c r="H7" s="122"/>
      <c r="I7" s="122">
        <v>80</v>
      </c>
      <c r="J7" s="122">
        <v>27</v>
      </c>
      <c r="K7" s="122"/>
      <c r="L7" s="122">
        <v>60</v>
      </c>
      <c r="M7" s="122">
        <v>36</v>
      </c>
      <c r="N7" s="122"/>
      <c r="O7" s="122">
        <v>80</v>
      </c>
      <c r="P7" s="122">
        <v>27</v>
      </c>
      <c r="Q7" s="122"/>
      <c r="R7" s="122">
        <v>60</v>
      </c>
      <c r="S7" s="122">
        <v>27</v>
      </c>
      <c r="T7" s="122"/>
      <c r="U7" s="122">
        <v>60</v>
      </c>
      <c r="V7" s="122">
        <v>27</v>
      </c>
      <c r="W7" s="122"/>
      <c r="X7" s="122">
        <v>60</v>
      </c>
      <c r="Y7" s="122">
        <v>27</v>
      </c>
      <c r="Z7" s="122"/>
      <c r="AA7" s="122">
        <v>60</v>
      </c>
      <c r="AB7" s="122">
        <v>36</v>
      </c>
      <c r="AC7" s="122"/>
      <c r="AD7" s="122">
        <v>30</v>
      </c>
      <c r="AE7" s="122">
        <v>13</v>
      </c>
      <c r="AF7" s="122"/>
      <c r="AG7" s="122">
        <v>25</v>
      </c>
      <c r="AH7" s="122">
        <v>13</v>
      </c>
      <c r="AI7" s="122"/>
      <c r="AJ7" s="122">
        <v>25</v>
      </c>
      <c r="AK7" s="122"/>
      <c r="AL7" s="123">
        <v>550</v>
      </c>
      <c r="AM7" s="17"/>
      <c r="AN7" s="45"/>
    </row>
    <row r="8" spans="1:40" s="92" customFormat="1" ht="89.25" customHeight="1" x14ac:dyDescent="0.25">
      <c r="A8" s="68">
        <v>1</v>
      </c>
      <c r="B8" s="85">
        <v>180090101001</v>
      </c>
      <c r="C8" s="70">
        <v>180000100053</v>
      </c>
      <c r="D8" s="86" t="s">
        <v>142</v>
      </c>
      <c r="E8" s="86" t="s">
        <v>143</v>
      </c>
      <c r="F8" s="87"/>
      <c r="G8" s="73">
        <v>92</v>
      </c>
      <c r="H8" s="78">
        <v>69</v>
      </c>
      <c r="I8" s="88">
        <f>SUM(G8:H8)</f>
        <v>161</v>
      </c>
      <c r="J8" s="78">
        <v>57</v>
      </c>
      <c r="K8" s="73">
        <v>44</v>
      </c>
      <c r="L8" s="74">
        <f>SUM(J8:K8)</f>
        <v>101</v>
      </c>
      <c r="M8" s="73">
        <v>108</v>
      </c>
      <c r="N8" s="78">
        <v>70</v>
      </c>
      <c r="O8" s="88">
        <f>SUM(M8:N8)</f>
        <v>178</v>
      </c>
      <c r="P8" s="78">
        <v>75</v>
      </c>
      <c r="Q8" s="73">
        <v>46</v>
      </c>
      <c r="R8" s="74">
        <f>SUM(P8:Q8)</f>
        <v>121</v>
      </c>
      <c r="S8" s="78">
        <v>84</v>
      </c>
      <c r="T8" s="73">
        <v>55</v>
      </c>
      <c r="U8" s="74">
        <f>SUM(S8:T8)</f>
        <v>139</v>
      </c>
      <c r="V8" s="78">
        <v>54</v>
      </c>
      <c r="W8" s="73">
        <v>48</v>
      </c>
      <c r="X8" s="74">
        <f>SUM(V8:W8)</f>
        <v>102</v>
      </c>
      <c r="Y8" s="78"/>
      <c r="Z8" s="73"/>
      <c r="AA8" s="74"/>
      <c r="AB8" s="68">
        <v>43</v>
      </c>
      <c r="AC8" s="68">
        <v>19</v>
      </c>
      <c r="AD8" s="74">
        <f>SUM(AB8:AC8)</f>
        <v>62</v>
      </c>
      <c r="AE8" s="73">
        <v>21</v>
      </c>
      <c r="AF8" s="73">
        <v>21</v>
      </c>
      <c r="AG8" s="74">
        <f>SUM(AE8:AF8)</f>
        <v>42</v>
      </c>
      <c r="AH8" s="78">
        <v>20</v>
      </c>
      <c r="AI8" s="73">
        <v>17</v>
      </c>
      <c r="AJ8" s="74">
        <f>SUM(AH8:AI8)</f>
        <v>37</v>
      </c>
      <c r="AK8" s="89">
        <v>47</v>
      </c>
      <c r="AL8" s="74">
        <f>I8+L8+O8+R8+U8+X8+AG8+AJ8</f>
        <v>881</v>
      </c>
      <c r="AM8" s="90" t="s">
        <v>556</v>
      </c>
      <c r="AN8" s="91"/>
    </row>
    <row r="9" spans="1:40" s="92" customFormat="1" ht="89.25" customHeight="1" x14ac:dyDescent="0.25">
      <c r="A9" s="68">
        <v>2</v>
      </c>
      <c r="B9" s="85">
        <v>180090101002</v>
      </c>
      <c r="C9" s="70">
        <v>180000100054</v>
      </c>
      <c r="D9" s="86" t="s">
        <v>144</v>
      </c>
      <c r="E9" s="86" t="s">
        <v>145</v>
      </c>
      <c r="F9" s="87"/>
      <c r="G9" s="73">
        <v>100</v>
      </c>
      <c r="H9" s="78">
        <v>67</v>
      </c>
      <c r="I9" s="88">
        <f t="shared" ref="I9:I72" si="0">SUM(G9:H9)</f>
        <v>167</v>
      </c>
      <c r="J9" s="78">
        <v>60</v>
      </c>
      <c r="K9" s="73">
        <v>39</v>
      </c>
      <c r="L9" s="74">
        <f t="shared" ref="L9:L72" si="1">SUM(J9:K9)</f>
        <v>99</v>
      </c>
      <c r="M9" s="73">
        <v>98</v>
      </c>
      <c r="N9" s="78">
        <v>71</v>
      </c>
      <c r="O9" s="88">
        <f t="shared" ref="O9:O72" si="2">SUM(M9:N9)</f>
        <v>169</v>
      </c>
      <c r="P9" s="78">
        <v>74</v>
      </c>
      <c r="Q9" s="73">
        <v>51</v>
      </c>
      <c r="R9" s="74">
        <f t="shared" ref="R9:R72" si="3">SUM(P9:Q9)</f>
        <v>125</v>
      </c>
      <c r="S9" s="78">
        <v>84</v>
      </c>
      <c r="T9" s="73">
        <v>54</v>
      </c>
      <c r="U9" s="74">
        <f t="shared" ref="U9:U72" si="4">SUM(S9:T9)</f>
        <v>138</v>
      </c>
      <c r="V9" s="78">
        <v>48</v>
      </c>
      <c r="W9" s="73">
        <v>48</v>
      </c>
      <c r="X9" s="74">
        <f t="shared" ref="X9:X72" si="5">SUM(V9:W9)</f>
        <v>96</v>
      </c>
      <c r="Y9" s="78"/>
      <c r="Z9" s="73"/>
      <c r="AA9" s="74"/>
      <c r="AB9" s="68">
        <v>42</v>
      </c>
      <c r="AC9" s="68">
        <v>19</v>
      </c>
      <c r="AD9" s="74">
        <f t="shared" ref="AD9:AD72" si="6">SUM(AB9:AC9)</f>
        <v>61</v>
      </c>
      <c r="AE9" s="73">
        <v>22</v>
      </c>
      <c r="AF9" s="73">
        <v>23</v>
      </c>
      <c r="AG9" s="74">
        <f t="shared" ref="AG9:AG72" si="7">SUM(AE9:AF9)</f>
        <v>45</v>
      </c>
      <c r="AH9" s="78">
        <v>20</v>
      </c>
      <c r="AI9" s="73">
        <v>17</v>
      </c>
      <c r="AJ9" s="74">
        <f t="shared" ref="AJ9:AJ72" si="8">SUM(AH9:AI9)</f>
        <v>37</v>
      </c>
      <c r="AK9" s="89">
        <v>46</v>
      </c>
      <c r="AL9" s="74">
        <f t="shared" ref="AL9:AL72" si="9">I9+L9+O9+R9+U9+X9+AG9+AJ9</f>
        <v>876</v>
      </c>
      <c r="AM9" s="90" t="s">
        <v>556</v>
      </c>
      <c r="AN9" s="91"/>
    </row>
    <row r="10" spans="1:40" s="92" customFormat="1" ht="89.25" customHeight="1" x14ac:dyDescent="0.25">
      <c r="A10" s="68">
        <v>3</v>
      </c>
      <c r="B10" s="85">
        <v>180090101003</v>
      </c>
      <c r="C10" s="70">
        <v>180000100055</v>
      </c>
      <c r="D10" s="86" t="s">
        <v>42</v>
      </c>
      <c r="E10" s="86" t="s">
        <v>38</v>
      </c>
      <c r="F10" s="87"/>
      <c r="G10" s="73">
        <v>100</v>
      </c>
      <c r="H10" s="78">
        <v>73</v>
      </c>
      <c r="I10" s="88">
        <f t="shared" si="0"/>
        <v>173</v>
      </c>
      <c r="J10" s="78">
        <v>62</v>
      </c>
      <c r="K10" s="73">
        <v>47</v>
      </c>
      <c r="L10" s="74">
        <f t="shared" si="1"/>
        <v>109</v>
      </c>
      <c r="M10" s="73">
        <v>110</v>
      </c>
      <c r="N10" s="78">
        <v>74</v>
      </c>
      <c r="O10" s="88">
        <f t="shared" si="2"/>
        <v>184</v>
      </c>
      <c r="P10" s="78">
        <v>71</v>
      </c>
      <c r="Q10" s="73">
        <v>50</v>
      </c>
      <c r="R10" s="74">
        <f t="shared" si="3"/>
        <v>121</v>
      </c>
      <c r="S10" s="78">
        <v>85</v>
      </c>
      <c r="T10" s="73">
        <v>57</v>
      </c>
      <c r="U10" s="74">
        <f t="shared" si="4"/>
        <v>142</v>
      </c>
      <c r="V10" s="78">
        <v>50</v>
      </c>
      <c r="W10" s="73">
        <v>49</v>
      </c>
      <c r="X10" s="74">
        <f t="shared" si="5"/>
        <v>99</v>
      </c>
      <c r="Y10" s="78"/>
      <c r="Z10" s="73"/>
      <c r="AA10" s="74"/>
      <c r="AB10" s="68">
        <v>44</v>
      </c>
      <c r="AC10" s="68">
        <v>19</v>
      </c>
      <c r="AD10" s="74">
        <f t="shared" si="6"/>
        <v>63</v>
      </c>
      <c r="AE10" s="73">
        <v>20</v>
      </c>
      <c r="AF10" s="73">
        <v>21</v>
      </c>
      <c r="AG10" s="74">
        <f t="shared" si="7"/>
        <v>41</v>
      </c>
      <c r="AH10" s="78">
        <v>22</v>
      </c>
      <c r="AI10" s="73">
        <v>22</v>
      </c>
      <c r="AJ10" s="74">
        <f t="shared" si="8"/>
        <v>44</v>
      </c>
      <c r="AK10" s="89">
        <v>48</v>
      </c>
      <c r="AL10" s="74">
        <f t="shared" si="9"/>
        <v>913</v>
      </c>
      <c r="AM10" s="90" t="s">
        <v>556</v>
      </c>
      <c r="AN10" s="91"/>
    </row>
    <row r="11" spans="1:40" s="92" customFormat="1" ht="89.25" customHeight="1" x14ac:dyDescent="0.25">
      <c r="A11" s="68">
        <v>4</v>
      </c>
      <c r="B11" s="85">
        <v>180090101004</v>
      </c>
      <c r="C11" s="70">
        <v>180000100056</v>
      </c>
      <c r="D11" s="86" t="s">
        <v>146</v>
      </c>
      <c r="E11" s="86" t="s">
        <v>147</v>
      </c>
      <c r="F11" s="87"/>
      <c r="G11" s="73">
        <v>84</v>
      </c>
      <c r="H11" s="78">
        <v>73</v>
      </c>
      <c r="I11" s="88">
        <f t="shared" si="0"/>
        <v>157</v>
      </c>
      <c r="J11" s="78">
        <v>62</v>
      </c>
      <c r="K11" s="73">
        <v>50</v>
      </c>
      <c r="L11" s="74">
        <f t="shared" si="1"/>
        <v>112</v>
      </c>
      <c r="M11" s="73">
        <v>104</v>
      </c>
      <c r="N11" s="78">
        <v>67</v>
      </c>
      <c r="O11" s="88">
        <f t="shared" si="2"/>
        <v>171</v>
      </c>
      <c r="P11" s="78">
        <v>65</v>
      </c>
      <c r="Q11" s="73">
        <v>48</v>
      </c>
      <c r="R11" s="74">
        <f t="shared" si="3"/>
        <v>113</v>
      </c>
      <c r="S11" s="78">
        <v>81</v>
      </c>
      <c r="T11" s="73">
        <v>57</v>
      </c>
      <c r="U11" s="74">
        <f t="shared" si="4"/>
        <v>138</v>
      </c>
      <c r="V11" s="78"/>
      <c r="W11" s="73" t="s">
        <v>558</v>
      </c>
      <c r="X11" s="74"/>
      <c r="Y11" s="78">
        <v>69</v>
      </c>
      <c r="Z11" s="73">
        <v>54</v>
      </c>
      <c r="AA11" s="74">
        <f>SUM(Y11:Z11)</f>
        <v>123</v>
      </c>
      <c r="AB11" s="68">
        <v>41</v>
      </c>
      <c r="AC11" s="68">
        <v>19</v>
      </c>
      <c r="AD11" s="74">
        <f t="shared" si="6"/>
        <v>60</v>
      </c>
      <c r="AE11" s="73">
        <v>23</v>
      </c>
      <c r="AF11" s="73">
        <v>22</v>
      </c>
      <c r="AG11" s="74">
        <f t="shared" si="7"/>
        <v>45</v>
      </c>
      <c r="AH11" s="78">
        <v>23</v>
      </c>
      <c r="AI11" s="73">
        <v>19</v>
      </c>
      <c r="AJ11" s="74">
        <f t="shared" si="8"/>
        <v>42</v>
      </c>
      <c r="AK11" s="89">
        <v>46</v>
      </c>
      <c r="AL11" s="74">
        <f t="shared" si="9"/>
        <v>778</v>
      </c>
      <c r="AM11" s="90" t="s">
        <v>556</v>
      </c>
      <c r="AN11" s="91"/>
    </row>
    <row r="12" spans="1:40" s="92" customFormat="1" ht="89.25" customHeight="1" x14ac:dyDescent="0.25">
      <c r="A12" s="68">
        <v>5</v>
      </c>
      <c r="B12" s="85">
        <v>180090101005</v>
      </c>
      <c r="C12" s="70">
        <v>180000100057</v>
      </c>
      <c r="D12" s="86" t="s">
        <v>148</v>
      </c>
      <c r="E12" s="86" t="s">
        <v>149</v>
      </c>
      <c r="F12" s="87"/>
      <c r="G12" s="73">
        <v>102</v>
      </c>
      <c r="H12" s="78">
        <v>70</v>
      </c>
      <c r="I12" s="88">
        <f t="shared" si="0"/>
        <v>172</v>
      </c>
      <c r="J12" s="78">
        <v>60</v>
      </c>
      <c r="K12" s="73">
        <v>43</v>
      </c>
      <c r="L12" s="74">
        <f t="shared" si="1"/>
        <v>103</v>
      </c>
      <c r="M12" s="73">
        <v>110</v>
      </c>
      <c r="N12" s="78">
        <v>72</v>
      </c>
      <c r="O12" s="88">
        <f t="shared" si="2"/>
        <v>182</v>
      </c>
      <c r="P12" s="78">
        <v>77</v>
      </c>
      <c r="Q12" s="73">
        <v>50</v>
      </c>
      <c r="R12" s="74">
        <f t="shared" si="3"/>
        <v>127</v>
      </c>
      <c r="S12" s="78">
        <v>78</v>
      </c>
      <c r="T12" s="73">
        <v>58</v>
      </c>
      <c r="U12" s="74">
        <f t="shared" si="4"/>
        <v>136</v>
      </c>
      <c r="V12" s="78">
        <v>50</v>
      </c>
      <c r="W12" s="73">
        <v>42</v>
      </c>
      <c r="X12" s="74">
        <f t="shared" si="5"/>
        <v>92</v>
      </c>
      <c r="Y12" s="78"/>
      <c r="Z12" s="73"/>
      <c r="AA12" s="74"/>
      <c r="AB12" s="68">
        <v>28</v>
      </c>
      <c r="AC12" s="68">
        <v>19</v>
      </c>
      <c r="AD12" s="74">
        <f t="shared" si="6"/>
        <v>47</v>
      </c>
      <c r="AE12" s="73">
        <v>23</v>
      </c>
      <c r="AF12" s="73">
        <v>22</v>
      </c>
      <c r="AG12" s="74">
        <f t="shared" si="7"/>
        <v>45</v>
      </c>
      <c r="AH12" s="78">
        <v>23</v>
      </c>
      <c r="AI12" s="73">
        <v>20</v>
      </c>
      <c r="AJ12" s="74">
        <f t="shared" si="8"/>
        <v>43</v>
      </c>
      <c r="AK12" s="89">
        <v>45</v>
      </c>
      <c r="AL12" s="74">
        <f t="shared" si="9"/>
        <v>900</v>
      </c>
      <c r="AM12" s="90" t="s">
        <v>556</v>
      </c>
      <c r="AN12" s="91"/>
    </row>
    <row r="13" spans="1:40" s="92" customFormat="1" ht="89.25" customHeight="1" x14ac:dyDescent="0.25">
      <c r="A13" s="68">
        <v>6</v>
      </c>
      <c r="B13" s="85">
        <v>180090101006</v>
      </c>
      <c r="C13" s="70">
        <v>180000100058</v>
      </c>
      <c r="D13" s="86" t="s">
        <v>150</v>
      </c>
      <c r="E13" s="86" t="s">
        <v>151</v>
      </c>
      <c r="F13" s="87"/>
      <c r="G13" s="73">
        <v>94</v>
      </c>
      <c r="H13" s="78">
        <v>74</v>
      </c>
      <c r="I13" s="88">
        <f t="shared" si="0"/>
        <v>168</v>
      </c>
      <c r="J13" s="78">
        <v>62</v>
      </c>
      <c r="K13" s="73">
        <v>51</v>
      </c>
      <c r="L13" s="74">
        <f t="shared" si="1"/>
        <v>113</v>
      </c>
      <c r="M13" s="73">
        <v>110</v>
      </c>
      <c r="N13" s="78">
        <v>74</v>
      </c>
      <c r="O13" s="88">
        <f t="shared" si="2"/>
        <v>184</v>
      </c>
      <c r="P13" s="78">
        <v>77</v>
      </c>
      <c r="Q13" s="73">
        <v>43</v>
      </c>
      <c r="R13" s="74">
        <f t="shared" si="3"/>
        <v>120</v>
      </c>
      <c r="S13" s="78">
        <v>85</v>
      </c>
      <c r="T13" s="73">
        <v>53</v>
      </c>
      <c r="U13" s="74">
        <f t="shared" si="4"/>
        <v>138</v>
      </c>
      <c r="V13" s="78"/>
      <c r="W13" s="73" t="s">
        <v>558</v>
      </c>
      <c r="X13" s="74"/>
      <c r="Y13" s="78">
        <v>71</v>
      </c>
      <c r="Z13" s="73">
        <v>51</v>
      </c>
      <c r="AA13" s="74">
        <f>SUM(Y13:Z13)</f>
        <v>122</v>
      </c>
      <c r="AB13" s="68">
        <v>45</v>
      </c>
      <c r="AC13" s="68">
        <v>19</v>
      </c>
      <c r="AD13" s="74">
        <f t="shared" si="6"/>
        <v>64</v>
      </c>
      <c r="AE13" s="73">
        <v>19</v>
      </c>
      <c r="AF13" s="73">
        <v>22</v>
      </c>
      <c r="AG13" s="74">
        <f t="shared" si="7"/>
        <v>41</v>
      </c>
      <c r="AH13" s="78">
        <v>21</v>
      </c>
      <c r="AI13" s="73">
        <v>24</v>
      </c>
      <c r="AJ13" s="74">
        <f t="shared" si="8"/>
        <v>45</v>
      </c>
      <c r="AK13" s="89">
        <v>46</v>
      </c>
      <c r="AL13" s="74">
        <f t="shared" si="9"/>
        <v>809</v>
      </c>
      <c r="AM13" s="90" t="s">
        <v>556</v>
      </c>
      <c r="AN13" s="91"/>
    </row>
    <row r="14" spans="1:40" s="92" customFormat="1" ht="89.25" customHeight="1" x14ac:dyDescent="0.25">
      <c r="A14" s="68">
        <v>7</v>
      </c>
      <c r="B14" s="85">
        <v>180090101007</v>
      </c>
      <c r="C14" s="70">
        <v>180000100059</v>
      </c>
      <c r="D14" s="93" t="s">
        <v>152</v>
      </c>
      <c r="E14" s="93" t="s">
        <v>153</v>
      </c>
      <c r="F14" s="87"/>
      <c r="G14" s="73">
        <v>100</v>
      </c>
      <c r="H14" s="78">
        <v>73</v>
      </c>
      <c r="I14" s="88">
        <f t="shared" si="0"/>
        <v>173</v>
      </c>
      <c r="J14" s="78">
        <v>60</v>
      </c>
      <c r="K14" s="73">
        <v>47</v>
      </c>
      <c r="L14" s="74">
        <f t="shared" si="1"/>
        <v>107</v>
      </c>
      <c r="M14" s="73">
        <v>88</v>
      </c>
      <c r="N14" s="78">
        <v>74</v>
      </c>
      <c r="O14" s="88">
        <f t="shared" si="2"/>
        <v>162</v>
      </c>
      <c r="P14" s="78">
        <v>75</v>
      </c>
      <c r="Q14" s="73">
        <v>39</v>
      </c>
      <c r="R14" s="74">
        <f t="shared" si="3"/>
        <v>114</v>
      </c>
      <c r="S14" s="78">
        <v>85</v>
      </c>
      <c r="T14" s="73">
        <v>58</v>
      </c>
      <c r="U14" s="74">
        <f t="shared" si="4"/>
        <v>143</v>
      </c>
      <c r="V14" s="78">
        <v>47</v>
      </c>
      <c r="W14" s="73">
        <v>42</v>
      </c>
      <c r="X14" s="74">
        <f t="shared" si="5"/>
        <v>89</v>
      </c>
      <c r="Y14" s="78"/>
      <c r="Z14" s="73"/>
      <c r="AA14" s="74"/>
      <c r="AB14" s="68">
        <v>44</v>
      </c>
      <c r="AC14" s="68">
        <v>20</v>
      </c>
      <c r="AD14" s="74">
        <f t="shared" si="6"/>
        <v>64</v>
      </c>
      <c r="AE14" s="73">
        <v>22</v>
      </c>
      <c r="AF14" s="73">
        <v>23</v>
      </c>
      <c r="AG14" s="74">
        <f t="shared" si="7"/>
        <v>45</v>
      </c>
      <c r="AH14" s="78">
        <v>20</v>
      </c>
      <c r="AI14" s="73">
        <v>18</v>
      </c>
      <c r="AJ14" s="74">
        <f t="shared" si="8"/>
        <v>38</v>
      </c>
      <c r="AK14" s="89">
        <v>45</v>
      </c>
      <c r="AL14" s="74">
        <f t="shared" si="9"/>
        <v>871</v>
      </c>
      <c r="AM14" s="90" t="s">
        <v>556</v>
      </c>
      <c r="AN14" s="91"/>
    </row>
    <row r="15" spans="1:40" s="92" customFormat="1" ht="89.25" customHeight="1" x14ac:dyDescent="0.25">
      <c r="A15" s="68">
        <v>8</v>
      </c>
      <c r="B15" s="85">
        <v>180090101008</v>
      </c>
      <c r="C15" s="70">
        <v>180000100060</v>
      </c>
      <c r="D15" s="93" t="s">
        <v>154</v>
      </c>
      <c r="E15" s="93" t="s">
        <v>155</v>
      </c>
      <c r="F15" s="87"/>
      <c r="G15" s="73">
        <v>90</v>
      </c>
      <c r="H15" s="78">
        <v>66</v>
      </c>
      <c r="I15" s="88">
        <f t="shared" si="0"/>
        <v>156</v>
      </c>
      <c r="J15" s="78">
        <v>62</v>
      </c>
      <c r="K15" s="73">
        <v>48</v>
      </c>
      <c r="L15" s="74">
        <f t="shared" si="1"/>
        <v>110</v>
      </c>
      <c r="M15" s="73">
        <v>98</v>
      </c>
      <c r="N15" s="78">
        <v>61</v>
      </c>
      <c r="O15" s="88">
        <f t="shared" si="2"/>
        <v>159</v>
      </c>
      <c r="P15" s="78">
        <v>65</v>
      </c>
      <c r="Q15" s="73">
        <v>47</v>
      </c>
      <c r="R15" s="74">
        <f t="shared" si="3"/>
        <v>112</v>
      </c>
      <c r="S15" s="78">
        <v>81</v>
      </c>
      <c r="T15" s="73">
        <v>51</v>
      </c>
      <c r="U15" s="74">
        <f t="shared" si="4"/>
        <v>132</v>
      </c>
      <c r="V15" s="78"/>
      <c r="W15" s="73" t="s">
        <v>558</v>
      </c>
      <c r="X15" s="74"/>
      <c r="Y15" s="78">
        <v>56</v>
      </c>
      <c r="Z15" s="73">
        <v>54</v>
      </c>
      <c r="AA15" s="74">
        <f>SUM(Y15:Z15)</f>
        <v>110</v>
      </c>
      <c r="AB15" s="68">
        <v>38</v>
      </c>
      <c r="AC15" s="68">
        <v>19</v>
      </c>
      <c r="AD15" s="74">
        <f t="shared" si="6"/>
        <v>57</v>
      </c>
      <c r="AE15" s="73">
        <v>21</v>
      </c>
      <c r="AF15" s="73">
        <v>18</v>
      </c>
      <c r="AG15" s="74">
        <f t="shared" si="7"/>
        <v>39</v>
      </c>
      <c r="AH15" s="78">
        <v>22</v>
      </c>
      <c r="AI15" s="73">
        <v>19</v>
      </c>
      <c r="AJ15" s="74">
        <f t="shared" si="8"/>
        <v>41</v>
      </c>
      <c r="AK15" s="89">
        <v>40</v>
      </c>
      <c r="AL15" s="74">
        <f t="shared" si="9"/>
        <v>749</v>
      </c>
      <c r="AM15" s="90" t="s">
        <v>556</v>
      </c>
      <c r="AN15" s="91"/>
    </row>
    <row r="16" spans="1:40" s="92" customFormat="1" ht="89.25" customHeight="1" x14ac:dyDescent="0.25">
      <c r="A16" s="68">
        <v>9</v>
      </c>
      <c r="B16" s="85">
        <v>180090101009</v>
      </c>
      <c r="C16" s="70">
        <v>180000100061</v>
      </c>
      <c r="D16" s="93" t="s">
        <v>156</v>
      </c>
      <c r="E16" s="93" t="s">
        <v>157</v>
      </c>
      <c r="F16" s="87"/>
      <c r="G16" s="73">
        <v>90</v>
      </c>
      <c r="H16" s="78">
        <v>73</v>
      </c>
      <c r="I16" s="88">
        <f t="shared" si="0"/>
        <v>163</v>
      </c>
      <c r="J16" s="78">
        <v>54</v>
      </c>
      <c r="K16" s="73">
        <v>55</v>
      </c>
      <c r="L16" s="74">
        <f t="shared" si="1"/>
        <v>109</v>
      </c>
      <c r="M16" s="73">
        <v>114</v>
      </c>
      <c r="N16" s="78">
        <v>74</v>
      </c>
      <c r="O16" s="88">
        <f t="shared" si="2"/>
        <v>188</v>
      </c>
      <c r="P16" s="78">
        <v>80</v>
      </c>
      <c r="Q16" s="73">
        <v>50</v>
      </c>
      <c r="R16" s="74">
        <f t="shared" si="3"/>
        <v>130</v>
      </c>
      <c r="S16" s="78">
        <v>85</v>
      </c>
      <c r="T16" s="73">
        <v>57</v>
      </c>
      <c r="U16" s="74">
        <f t="shared" si="4"/>
        <v>142</v>
      </c>
      <c r="V16" s="78">
        <v>50</v>
      </c>
      <c r="W16" s="73">
        <v>43</v>
      </c>
      <c r="X16" s="74">
        <f t="shared" si="5"/>
        <v>93</v>
      </c>
      <c r="Y16" s="78"/>
      <c r="Z16" s="73"/>
      <c r="AA16" s="74"/>
      <c r="AB16" s="68">
        <v>43</v>
      </c>
      <c r="AC16" s="68">
        <v>20</v>
      </c>
      <c r="AD16" s="74">
        <f t="shared" si="6"/>
        <v>63</v>
      </c>
      <c r="AE16" s="73">
        <v>20</v>
      </c>
      <c r="AF16" s="73">
        <v>21</v>
      </c>
      <c r="AG16" s="74">
        <f t="shared" si="7"/>
        <v>41</v>
      </c>
      <c r="AH16" s="78">
        <v>21</v>
      </c>
      <c r="AI16" s="73">
        <v>19</v>
      </c>
      <c r="AJ16" s="74">
        <f t="shared" si="8"/>
        <v>40</v>
      </c>
      <c r="AK16" s="89">
        <v>50</v>
      </c>
      <c r="AL16" s="74">
        <f t="shared" si="9"/>
        <v>906</v>
      </c>
      <c r="AM16" s="90" t="s">
        <v>556</v>
      </c>
      <c r="AN16" s="91"/>
    </row>
    <row r="17" spans="1:40" s="92" customFormat="1" ht="89.25" customHeight="1" x14ac:dyDescent="0.25">
      <c r="A17" s="68">
        <v>10</v>
      </c>
      <c r="B17" s="85">
        <v>180090101010</v>
      </c>
      <c r="C17" s="70">
        <v>180000100062</v>
      </c>
      <c r="D17" s="86" t="s">
        <v>158</v>
      </c>
      <c r="E17" s="86" t="s">
        <v>159</v>
      </c>
      <c r="F17" s="87"/>
      <c r="G17" s="73">
        <v>88</v>
      </c>
      <c r="H17" s="78">
        <v>67</v>
      </c>
      <c r="I17" s="88">
        <f t="shared" si="0"/>
        <v>155</v>
      </c>
      <c r="J17" s="78">
        <v>65</v>
      </c>
      <c r="K17" s="73">
        <v>42</v>
      </c>
      <c r="L17" s="74">
        <f t="shared" si="1"/>
        <v>107</v>
      </c>
      <c r="M17" s="73">
        <v>110</v>
      </c>
      <c r="N17" s="78">
        <v>73</v>
      </c>
      <c r="O17" s="88">
        <f t="shared" si="2"/>
        <v>183</v>
      </c>
      <c r="P17" s="78">
        <v>72</v>
      </c>
      <c r="Q17" s="73">
        <v>54</v>
      </c>
      <c r="R17" s="74">
        <f t="shared" si="3"/>
        <v>126</v>
      </c>
      <c r="S17" s="78">
        <v>84</v>
      </c>
      <c r="T17" s="73">
        <v>58</v>
      </c>
      <c r="U17" s="74">
        <f t="shared" si="4"/>
        <v>142</v>
      </c>
      <c r="V17" s="78"/>
      <c r="W17" s="73" t="s">
        <v>558</v>
      </c>
      <c r="X17" s="74"/>
      <c r="Y17" s="78">
        <v>63</v>
      </c>
      <c r="Z17" s="73">
        <v>50</v>
      </c>
      <c r="AA17" s="74">
        <f>SUM(Y17:Z17)</f>
        <v>113</v>
      </c>
      <c r="AB17" s="68">
        <v>43</v>
      </c>
      <c r="AC17" s="68">
        <v>19</v>
      </c>
      <c r="AD17" s="74">
        <f t="shared" si="6"/>
        <v>62</v>
      </c>
      <c r="AE17" s="73">
        <v>20</v>
      </c>
      <c r="AF17" s="73">
        <v>21</v>
      </c>
      <c r="AG17" s="74">
        <f t="shared" si="7"/>
        <v>41</v>
      </c>
      <c r="AH17" s="78">
        <v>20</v>
      </c>
      <c r="AI17" s="73">
        <v>18</v>
      </c>
      <c r="AJ17" s="74">
        <f t="shared" si="8"/>
        <v>38</v>
      </c>
      <c r="AK17" s="89">
        <v>45</v>
      </c>
      <c r="AL17" s="74">
        <f t="shared" si="9"/>
        <v>792</v>
      </c>
      <c r="AM17" s="90" t="s">
        <v>556</v>
      </c>
      <c r="AN17" s="91"/>
    </row>
    <row r="18" spans="1:40" s="92" customFormat="1" ht="89.25" customHeight="1" x14ac:dyDescent="0.25">
      <c r="A18" s="68">
        <v>11</v>
      </c>
      <c r="B18" s="85">
        <v>180090101011</v>
      </c>
      <c r="C18" s="70">
        <v>180000100063</v>
      </c>
      <c r="D18" s="93" t="s">
        <v>160</v>
      </c>
      <c r="E18" s="93" t="s">
        <v>161</v>
      </c>
      <c r="F18" s="87"/>
      <c r="G18" s="73">
        <v>98</v>
      </c>
      <c r="H18" s="78">
        <v>72</v>
      </c>
      <c r="I18" s="88">
        <f t="shared" si="0"/>
        <v>170</v>
      </c>
      <c r="J18" s="78">
        <v>59</v>
      </c>
      <c r="K18" s="73">
        <v>54</v>
      </c>
      <c r="L18" s="74">
        <f t="shared" si="1"/>
        <v>113</v>
      </c>
      <c r="M18" s="73">
        <v>114</v>
      </c>
      <c r="N18" s="78">
        <v>74</v>
      </c>
      <c r="O18" s="88">
        <f t="shared" si="2"/>
        <v>188</v>
      </c>
      <c r="P18" s="78">
        <v>78</v>
      </c>
      <c r="Q18" s="73">
        <v>54</v>
      </c>
      <c r="R18" s="74">
        <f t="shared" si="3"/>
        <v>132</v>
      </c>
      <c r="S18" s="78">
        <v>85</v>
      </c>
      <c r="T18" s="73">
        <v>58</v>
      </c>
      <c r="U18" s="74">
        <f t="shared" si="4"/>
        <v>143</v>
      </c>
      <c r="V18" s="78">
        <v>54</v>
      </c>
      <c r="W18" s="73">
        <v>53</v>
      </c>
      <c r="X18" s="74">
        <f t="shared" si="5"/>
        <v>107</v>
      </c>
      <c r="Y18" s="78"/>
      <c r="Z18" s="73"/>
      <c r="AA18" s="74"/>
      <c r="AB18" s="68">
        <v>43</v>
      </c>
      <c r="AC18" s="68">
        <v>19</v>
      </c>
      <c r="AD18" s="74">
        <f t="shared" si="6"/>
        <v>62</v>
      </c>
      <c r="AE18" s="73">
        <v>22</v>
      </c>
      <c r="AF18" s="73">
        <v>21</v>
      </c>
      <c r="AG18" s="74">
        <f t="shared" si="7"/>
        <v>43</v>
      </c>
      <c r="AH18" s="78">
        <v>23</v>
      </c>
      <c r="AI18" s="73">
        <v>20</v>
      </c>
      <c r="AJ18" s="74">
        <f t="shared" si="8"/>
        <v>43</v>
      </c>
      <c r="AK18" s="89">
        <v>45</v>
      </c>
      <c r="AL18" s="74">
        <f t="shared" si="9"/>
        <v>939</v>
      </c>
      <c r="AM18" s="90" t="s">
        <v>556</v>
      </c>
      <c r="AN18" s="91"/>
    </row>
    <row r="19" spans="1:40" s="92" customFormat="1" ht="89.25" customHeight="1" x14ac:dyDescent="0.25">
      <c r="A19" s="68">
        <v>12</v>
      </c>
      <c r="B19" s="85">
        <v>180090101012</v>
      </c>
      <c r="C19" s="70">
        <v>180000100064</v>
      </c>
      <c r="D19" s="86" t="s">
        <v>162</v>
      </c>
      <c r="E19" s="86" t="s">
        <v>31</v>
      </c>
      <c r="F19" s="87"/>
      <c r="G19" s="73">
        <v>90</v>
      </c>
      <c r="H19" s="78">
        <v>70</v>
      </c>
      <c r="I19" s="88">
        <f t="shared" si="0"/>
        <v>160</v>
      </c>
      <c r="J19" s="78">
        <v>56</v>
      </c>
      <c r="K19" s="73">
        <v>53</v>
      </c>
      <c r="L19" s="74">
        <f t="shared" si="1"/>
        <v>109</v>
      </c>
      <c r="M19" s="73">
        <v>112</v>
      </c>
      <c r="N19" s="78">
        <v>74</v>
      </c>
      <c r="O19" s="88">
        <f t="shared" si="2"/>
        <v>186</v>
      </c>
      <c r="P19" s="78">
        <v>74</v>
      </c>
      <c r="Q19" s="73">
        <v>54</v>
      </c>
      <c r="R19" s="74">
        <f t="shared" si="3"/>
        <v>128</v>
      </c>
      <c r="S19" s="78">
        <v>85</v>
      </c>
      <c r="T19" s="73">
        <v>57</v>
      </c>
      <c r="U19" s="74">
        <f t="shared" si="4"/>
        <v>142</v>
      </c>
      <c r="V19" s="78">
        <v>51</v>
      </c>
      <c r="W19" s="73">
        <v>53</v>
      </c>
      <c r="X19" s="74">
        <f t="shared" si="5"/>
        <v>104</v>
      </c>
      <c r="Y19" s="78"/>
      <c r="Z19" s="73"/>
      <c r="AA19" s="74"/>
      <c r="AB19" s="68">
        <v>43</v>
      </c>
      <c r="AC19" s="68">
        <v>19</v>
      </c>
      <c r="AD19" s="74">
        <f t="shared" si="6"/>
        <v>62</v>
      </c>
      <c r="AE19" s="73">
        <v>22</v>
      </c>
      <c r="AF19" s="73">
        <v>20</v>
      </c>
      <c r="AG19" s="74">
        <f t="shared" si="7"/>
        <v>42</v>
      </c>
      <c r="AH19" s="78">
        <v>22</v>
      </c>
      <c r="AI19" s="73">
        <v>17</v>
      </c>
      <c r="AJ19" s="74">
        <f t="shared" si="8"/>
        <v>39</v>
      </c>
      <c r="AK19" s="89">
        <v>44</v>
      </c>
      <c r="AL19" s="74">
        <f t="shared" si="9"/>
        <v>910</v>
      </c>
      <c r="AM19" s="90" t="s">
        <v>556</v>
      </c>
      <c r="AN19" s="91"/>
    </row>
    <row r="20" spans="1:40" s="92" customFormat="1" ht="89.25" customHeight="1" x14ac:dyDescent="0.25">
      <c r="A20" s="68">
        <v>13</v>
      </c>
      <c r="B20" s="85">
        <v>180090101013</v>
      </c>
      <c r="C20" s="70">
        <v>180000100065</v>
      </c>
      <c r="D20" s="86" t="s">
        <v>163</v>
      </c>
      <c r="E20" s="86" t="s">
        <v>164</v>
      </c>
      <c r="F20" s="87"/>
      <c r="G20" s="73">
        <v>94</v>
      </c>
      <c r="H20" s="78">
        <v>71</v>
      </c>
      <c r="I20" s="88">
        <f t="shared" si="0"/>
        <v>165</v>
      </c>
      <c r="J20" s="78">
        <v>60</v>
      </c>
      <c r="K20" s="73">
        <v>53</v>
      </c>
      <c r="L20" s="74">
        <f t="shared" si="1"/>
        <v>113</v>
      </c>
      <c r="M20" s="73">
        <v>112</v>
      </c>
      <c r="N20" s="78">
        <v>74</v>
      </c>
      <c r="O20" s="88">
        <f t="shared" si="2"/>
        <v>186</v>
      </c>
      <c r="P20" s="78">
        <v>80</v>
      </c>
      <c r="Q20" s="73">
        <v>49</v>
      </c>
      <c r="R20" s="74">
        <f t="shared" si="3"/>
        <v>129</v>
      </c>
      <c r="S20" s="78">
        <v>85</v>
      </c>
      <c r="T20" s="73">
        <v>57</v>
      </c>
      <c r="U20" s="74">
        <f t="shared" si="4"/>
        <v>142</v>
      </c>
      <c r="V20" s="78">
        <v>54</v>
      </c>
      <c r="W20" s="73">
        <v>51</v>
      </c>
      <c r="X20" s="74">
        <f t="shared" si="5"/>
        <v>105</v>
      </c>
      <c r="Y20" s="78"/>
      <c r="Z20" s="73"/>
      <c r="AA20" s="74"/>
      <c r="AB20" s="68">
        <v>37</v>
      </c>
      <c r="AC20" s="68">
        <v>20</v>
      </c>
      <c r="AD20" s="74">
        <f t="shared" si="6"/>
        <v>57</v>
      </c>
      <c r="AE20" s="73">
        <v>22</v>
      </c>
      <c r="AF20" s="73">
        <v>20</v>
      </c>
      <c r="AG20" s="74">
        <f t="shared" si="7"/>
        <v>42</v>
      </c>
      <c r="AH20" s="78">
        <v>22</v>
      </c>
      <c r="AI20" s="73">
        <v>17</v>
      </c>
      <c r="AJ20" s="74">
        <f t="shared" si="8"/>
        <v>39</v>
      </c>
      <c r="AK20" s="89">
        <v>50</v>
      </c>
      <c r="AL20" s="74">
        <f t="shared" si="9"/>
        <v>921</v>
      </c>
      <c r="AM20" s="90" t="s">
        <v>556</v>
      </c>
      <c r="AN20" s="91"/>
    </row>
    <row r="21" spans="1:40" s="92" customFormat="1" ht="89.25" customHeight="1" x14ac:dyDescent="0.25">
      <c r="A21" s="68">
        <v>14</v>
      </c>
      <c r="B21" s="85">
        <v>180090101014</v>
      </c>
      <c r="C21" s="70">
        <v>180000100066</v>
      </c>
      <c r="D21" s="93" t="s">
        <v>165</v>
      </c>
      <c r="E21" s="93" t="s">
        <v>166</v>
      </c>
      <c r="F21" s="87"/>
      <c r="G21" s="73">
        <v>104</v>
      </c>
      <c r="H21" s="78">
        <v>74</v>
      </c>
      <c r="I21" s="88">
        <f t="shared" si="0"/>
        <v>178</v>
      </c>
      <c r="J21" s="78">
        <v>63</v>
      </c>
      <c r="K21" s="73">
        <v>56</v>
      </c>
      <c r="L21" s="74">
        <f t="shared" si="1"/>
        <v>119</v>
      </c>
      <c r="M21" s="73">
        <v>110</v>
      </c>
      <c r="N21" s="78">
        <v>73</v>
      </c>
      <c r="O21" s="88">
        <f t="shared" si="2"/>
        <v>183</v>
      </c>
      <c r="P21" s="78">
        <v>77</v>
      </c>
      <c r="Q21" s="73">
        <v>50</v>
      </c>
      <c r="R21" s="74">
        <f t="shared" si="3"/>
        <v>127</v>
      </c>
      <c r="S21" s="78">
        <v>85</v>
      </c>
      <c r="T21" s="73">
        <v>57</v>
      </c>
      <c r="U21" s="74">
        <f t="shared" si="4"/>
        <v>142</v>
      </c>
      <c r="V21" s="78">
        <v>53</v>
      </c>
      <c r="W21" s="73">
        <v>53</v>
      </c>
      <c r="X21" s="74">
        <f t="shared" si="5"/>
        <v>106</v>
      </c>
      <c r="Y21" s="78"/>
      <c r="Z21" s="73"/>
      <c r="AA21" s="74"/>
      <c r="AB21" s="68">
        <v>39</v>
      </c>
      <c r="AC21" s="68">
        <v>20</v>
      </c>
      <c r="AD21" s="74">
        <f t="shared" si="6"/>
        <v>59</v>
      </c>
      <c r="AE21" s="73">
        <v>23</v>
      </c>
      <c r="AF21" s="73">
        <v>22</v>
      </c>
      <c r="AG21" s="74">
        <f t="shared" si="7"/>
        <v>45</v>
      </c>
      <c r="AH21" s="78">
        <v>22</v>
      </c>
      <c r="AI21" s="73">
        <v>23</v>
      </c>
      <c r="AJ21" s="74">
        <f t="shared" si="8"/>
        <v>45</v>
      </c>
      <c r="AK21" s="89">
        <v>47</v>
      </c>
      <c r="AL21" s="74">
        <f t="shared" si="9"/>
        <v>945</v>
      </c>
      <c r="AM21" s="90" t="s">
        <v>556</v>
      </c>
      <c r="AN21" s="91"/>
    </row>
    <row r="22" spans="1:40" s="92" customFormat="1" ht="89.25" customHeight="1" x14ac:dyDescent="0.25">
      <c r="A22" s="68">
        <v>15</v>
      </c>
      <c r="B22" s="85">
        <v>180090101015</v>
      </c>
      <c r="C22" s="70">
        <v>180000100067</v>
      </c>
      <c r="D22" s="86" t="s">
        <v>167</v>
      </c>
      <c r="E22" s="86" t="s">
        <v>168</v>
      </c>
      <c r="F22" s="87"/>
      <c r="G22" s="73">
        <v>94</v>
      </c>
      <c r="H22" s="78">
        <v>72</v>
      </c>
      <c r="I22" s="88">
        <f t="shared" si="0"/>
        <v>166</v>
      </c>
      <c r="J22" s="78">
        <v>63</v>
      </c>
      <c r="K22" s="73">
        <v>54</v>
      </c>
      <c r="L22" s="74">
        <f t="shared" si="1"/>
        <v>117</v>
      </c>
      <c r="M22" s="73">
        <v>112</v>
      </c>
      <c r="N22" s="78">
        <v>73</v>
      </c>
      <c r="O22" s="88">
        <f t="shared" si="2"/>
        <v>185</v>
      </c>
      <c r="P22" s="78">
        <v>80</v>
      </c>
      <c r="Q22" s="73">
        <v>50</v>
      </c>
      <c r="R22" s="74">
        <f t="shared" si="3"/>
        <v>130</v>
      </c>
      <c r="S22" s="78">
        <v>85</v>
      </c>
      <c r="T22" s="73">
        <v>58</v>
      </c>
      <c r="U22" s="74">
        <f t="shared" si="4"/>
        <v>143</v>
      </c>
      <c r="V22" s="78">
        <v>50</v>
      </c>
      <c r="W22" s="73">
        <v>47</v>
      </c>
      <c r="X22" s="74">
        <f t="shared" si="5"/>
        <v>97</v>
      </c>
      <c r="Y22" s="78"/>
      <c r="Z22" s="73"/>
      <c r="AA22" s="74"/>
      <c r="AB22" s="68">
        <v>39</v>
      </c>
      <c r="AC22" s="68">
        <v>19</v>
      </c>
      <c r="AD22" s="74">
        <f t="shared" si="6"/>
        <v>58</v>
      </c>
      <c r="AE22" s="73">
        <v>21</v>
      </c>
      <c r="AF22" s="73">
        <v>21</v>
      </c>
      <c r="AG22" s="74">
        <f t="shared" si="7"/>
        <v>42</v>
      </c>
      <c r="AH22" s="78">
        <v>23</v>
      </c>
      <c r="AI22" s="73">
        <v>21</v>
      </c>
      <c r="AJ22" s="74">
        <f t="shared" si="8"/>
        <v>44</v>
      </c>
      <c r="AK22" s="89">
        <v>47</v>
      </c>
      <c r="AL22" s="74">
        <f t="shared" si="9"/>
        <v>924</v>
      </c>
      <c r="AM22" s="90" t="s">
        <v>556</v>
      </c>
      <c r="AN22" s="91"/>
    </row>
    <row r="23" spans="1:40" s="92" customFormat="1" ht="89.25" customHeight="1" x14ac:dyDescent="0.25">
      <c r="A23" s="68">
        <v>16</v>
      </c>
      <c r="B23" s="85">
        <v>180090101016</v>
      </c>
      <c r="C23" s="70">
        <v>180000100068</v>
      </c>
      <c r="D23" s="93" t="s">
        <v>169</v>
      </c>
      <c r="E23" s="93" t="s">
        <v>170</v>
      </c>
      <c r="F23" s="87"/>
      <c r="G23" s="73">
        <v>96</v>
      </c>
      <c r="H23" s="78">
        <v>74</v>
      </c>
      <c r="I23" s="88">
        <f t="shared" si="0"/>
        <v>170</v>
      </c>
      <c r="J23" s="78">
        <v>59</v>
      </c>
      <c r="K23" s="73">
        <v>55</v>
      </c>
      <c r="L23" s="74">
        <f t="shared" si="1"/>
        <v>114</v>
      </c>
      <c r="M23" s="73">
        <v>114</v>
      </c>
      <c r="N23" s="78">
        <v>74</v>
      </c>
      <c r="O23" s="88">
        <f t="shared" si="2"/>
        <v>188</v>
      </c>
      <c r="P23" s="78">
        <v>74</v>
      </c>
      <c r="Q23" s="73">
        <v>50</v>
      </c>
      <c r="R23" s="74">
        <f t="shared" si="3"/>
        <v>124</v>
      </c>
      <c r="S23" s="78">
        <v>84</v>
      </c>
      <c r="T23" s="73">
        <v>58</v>
      </c>
      <c r="U23" s="74">
        <f t="shared" si="4"/>
        <v>142</v>
      </c>
      <c r="V23" s="78">
        <v>50</v>
      </c>
      <c r="W23" s="73">
        <v>50</v>
      </c>
      <c r="X23" s="74">
        <f t="shared" si="5"/>
        <v>100</v>
      </c>
      <c r="Y23" s="78"/>
      <c r="Z23" s="73"/>
      <c r="AA23" s="74"/>
      <c r="AB23" s="68">
        <v>39</v>
      </c>
      <c r="AC23" s="68">
        <v>19</v>
      </c>
      <c r="AD23" s="74">
        <f t="shared" si="6"/>
        <v>58</v>
      </c>
      <c r="AE23" s="73">
        <v>23</v>
      </c>
      <c r="AF23" s="73">
        <v>22</v>
      </c>
      <c r="AG23" s="74">
        <f t="shared" si="7"/>
        <v>45</v>
      </c>
      <c r="AH23" s="78">
        <v>23</v>
      </c>
      <c r="AI23" s="73">
        <v>19</v>
      </c>
      <c r="AJ23" s="74">
        <f t="shared" si="8"/>
        <v>42</v>
      </c>
      <c r="AK23" s="89">
        <v>46</v>
      </c>
      <c r="AL23" s="74">
        <f t="shared" si="9"/>
        <v>925</v>
      </c>
      <c r="AM23" s="90" t="s">
        <v>556</v>
      </c>
      <c r="AN23" s="91"/>
    </row>
    <row r="24" spans="1:40" s="92" customFormat="1" ht="89.25" customHeight="1" x14ac:dyDescent="0.25">
      <c r="A24" s="68">
        <v>17</v>
      </c>
      <c r="B24" s="85">
        <v>180090101017</v>
      </c>
      <c r="C24" s="70">
        <v>180000100069</v>
      </c>
      <c r="D24" s="93" t="s">
        <v>171</v>
      </c>
      <c r="E24" s="93" t="s">
        <v>172</v>
      </c>
      <c r="F24" s="87"/>
      <c r="G24" s="73">
        <v>94</v>
      </c>
      <c r="H24" s="78">
        <v>73</v>
      </c>
      <c r="I24" s="88">
        <f t="shared" si="0"/>
        <v>167</v>
      </c>
      <c r="J24" s="78">
        <v>62</v>
      </c>
      <c r="K24" s="73">
        <v>55</v>
      </c>
      <c r="L24" s="74">
        <f t="shared" si="1"/>
        <v>117</v>
      </c>
      <c r="M24" s="73">
        <v>108</v>
      </c>
      <c r="N24" s="78">
        <v>74</v>
      </c>
      <c r="O24" s="88">
        <f t="shared" si="2"/>
        <v>182</v>
      </c>
      <c r="P24" s="78">
        <v>75</v>
      </c>
      <c r="Q24" s="73">
        <v>53</v>
      </c>
      <c r="R24" s="74">
        <f t="shared" si="3"/>
        <v>128</v>
      </c>
      <c r="S24" s="78">
        <v>85</v>
      </c>
      <c r="T24" s="73">
        <v>57</v>
      </c>
      <c r="U24" s="74">
        <f t="shared" si="4"/>
        <v>142</v>
      </c>
      <c r="V24" s="78">
        <v>53</v>
      </c>
      <c r="W24" s="73">
        <v>44</v>
      </c>
      <c r="X24" s="74">
        <f t="shared" si="5"/>
        <v>97</v>
      </c>
      <c r="Y24" s="78"/>
      <c r="Z24" s="73"/>
      <c r="AA24" s="74"/>
      <c r="AB24" s="68">
        <v>43</v>
      </c>
      <c r="AC24" s="68">
        <v>20</v>
      </c>
      <c r="AD24" s="74">
        <f t="shared" si="6"/>
        <v>63</v>
      </c>
      <c r="AE24" s="73">
        <v>20</v>
      </c>
      <c r="AF24" s="73">
        <v>21</v>
      </c>
      <c r="AG24" s="74">
        <f t="shared" si="7"/>
        <v>41</v>
      </c>
      <c r="AH24" s="78">
        <v>22</v>
      </c>
      <c r="AI24" s="73">
        <v>23</v>
      </c>
      <c r="AJ24" s="74">
        <f t="shared" si="8"/>
        <v>45</v>
      </c>
      <c r="AK24" s="89">
        <v>46</v>
      </c>
      <c r="AL24" s="74">
        <f t="shared" si="9"/>
        <v>919</v>
      </c>
      <c r="AM24" s="90" t="s">
        <v>556</v>
      </c>
      <c r="AN24" s="91"/>
    </row>
    <row r="25" spans="1:40" s="92" customFormat="1" ht="89.25" customHeight="1" x14ac:dyDescent="0.25">
      <c r="A25" s="68">
        <v>18</v>
      </c>
      <c r="B25" s="85">
        <v>180090101018</v>
      </c>
      <c r="C25" s="70">
        <v>180000100070</v>
      </c>
      <c r="D25" s="93" t="s">
        <v>173</v>
      </c>
      <c r="E25" s="93" t="s">
        <v>174</v>
      </c>
      <c r="F25" s="87"/>
      <c r="G25" s="73">
        <v>98</v>
      </c>
      <c r="H25" s="78">
        <v>74</v>
      </c>
      <c r="I25" s="88">
        <f t="shared" si="0"/>
        <v>172</v>
      </c>
      <c r="J25" s="78">
        <v>63</v>
      </c>
      <c r="K25" s="73">
        <v>54</v>
      </c>
      <c r="L25" s="74">
        <f t="shared" si="1"/>
        <v>117</v>
      </c>
      <c r="M25" s="73">
        <v>112</v>
      </c>
      <c r="N25" s="78">
        <v>74</v>
      </c>
      <c r="O25" s="88">
        <f t="shared" si="2"/>
        <v>186</v>
      </c>
      <c r="P25" s="78">
        <v>77</v>
      </c>
      <c r="Q25" s="73">
        <v>50</v>
      </c>
      <c r="R25" s="74">
        <f t="shared" si="3"/>
        <v>127</v>
      </c>
      <c r="S25" s="78">
        <v>84</v>
      </c>
      <c r="T25" s="73">
        <v>57</v>
      </c>
      <c r="U25" s="74">
        <f t="shared" si="4"/>
        <v>141</v>
      </c>
      <c r="V25" s="78">
        <v>59</v>
      </c>
      <c r="W25" s="73">
        <v>53</v>
      </c>
      <c r="X25" s="74">
        <f t="shared" si="5"/>
        <v>112</v>
      </c>
      <c r="Y25" s="78"/>
      <c r="Z25" s="73"/>
      <c r="AA25" s="74"/>
      <c r="AB25" s="68">
        <v>44</v>
      </c>
      <c r="AC25" s="68">
        <v>19</v>
      </c>
      <c r="AD25" s="74">
        <f t="shared" si="6"/>
        <v>63</v>
      </c>
      <c r="AE25" s="73">
        <v>22</v>
      </c>
      <c r="AF25" s="73">
        <v>21</v>
      </c>
      <c r="AG25" s="74">
        <f t="shared" si="7"/>
        <v>43</v>
      </c>
      <c r="AH25" s="78">
        <v>20</v>
      </c>
      <c r="AI25" s="73">
        <v>19</v>
      </c>
      <c r="AJ25" s="74">
        <f t="shared" si="8"/>
        <v>39</v>
      </c>
      <c r="AK25" s="89">
        <v>50</v>
      </c>
      <c r="AL25" s="74">
        <f t="shared" si="9"/>
        <v>937</v>
      </c>
      <c r="AM25" s="90" t="s">
        <v>556</v>
      </c>
      <c r="AN25" s="91"/>
    </row>
    <row r="26" spans="1:40" s="92" customFormat="1" ht="89.25" customHeight="1" x14ac:dyDescent="0.25">
      <c r="A26" s="68">
        <v>19</v>
      </c>
      <c r="B26" s="85">
        <v>180090101019</v>
      </c>
      <c r="C26" s="70">
        <v>180000100071</v>
      </c>
      <c r="D26" s="93" t="s">
        <v>175</v>
      </c>
      <c r="E26" s="93" t="s">
        <v>176</v>
      </c>
      <c r="F26" s="87"/>
      <c r="G26" s="73">
        <v>96</v>
      </c>
      <c r="H26" s="78">
        <v>74</v>
      </c>
      <c r="I26" s="88">
        <f t="shared" si="0"/>
        <v>170</v>
      </c>
      <c r="J26" s="78">
        <v>57</v>
      </c>
      <c r="K26" s="73">
        <v>58</v>
      </c>
      <c r="L26" s="74">
        <f t="shared" si="1"/>
        <v>115</v>
      </c>
      <c r="M26" s="73">
        <v>112</v>
      </c>
      <c r="N26" s="78">
        <v>74</v>
      </c>
      <c r="O26" s="88">
        <f t="shared" si="2"/>
        <v>186</v>
      </c>
      <c r="P26" s="78">
        <v>77</v>
      </c>
      <c r="Q26" s="73">
        <v>49</v>
      </c>
      <c r="R26" s="74">
        <f t="shared" si="3"/>
        <v>126</v>
      </c>
      <c r="S26" s="78">
        <v>85</v>
      </c>
      <c r="T26" s="73">
        <v>58</v>
      </c>
      <c r="U26" s="74">
        <f t="shared" si="4"/>
        <v>143</v>
      </c>
      <c r="V26" s="78">
        <v>54</v>
      </c>
      <c r="W26" s="73">
        <v>54</v>
      </c>
      <c r="X26" s="74">
        <f t="shared" si="5"/>
        <v>108</v>
      </c>
      <c r="Y26" s="78"/>
      <c r="Z26" s="73"/>
      <c r="AA26" s="74"/>
      <c r="AB26" s="92">
        <v>43</v>
      </c>
      <c r="AC26" s="68">
        <v>20</v>
      </c>
      <c r="AD26" s="74">
        <f t="shared" si="6"/>
        <v>63</v>
      </c>
      <c r="AE26" s="73">
        <v>21</v>
      </c>
      <c r="AF26" s="73">
        <v>21</v>
      </c>
      <c r="AG26" s="74">
        <f t="shared" si="7"/>
        <v>42</v>
      </c>
      <c r="AH26" s="78">
        <v>22</v>
      </c>
      <c r="AI26" s="73">
        <v>21</v>
      </c>
      <c r="AJ26" s="74">
        <f t="shared" si="8"/>
        <v>43</v>
      </c>
      <c r="AK26" s="89">
        <v>50</v>
      </c>
      <c r="AL26" s="74">
        <f t="shared" si="9"/>
        <v>933</v>
      </c>
      <c r="AM26" s="90" t="s">
        <v>556</v>
      </c>
      <c r="AN26" s="91"/>
    </row>
    <row r="27" spans="1:40" s="92" customFormat="1" ht="89.25" customHeight="1" x14ac:dyDescent="0.25">
      <c r="A27" s="68">
        <v>20</v>
      </c>
      <c r="B27" s="85">
        <v>180090101020</v>
      </c>
      <c r="C27" s="70">
        <v>180000100072</v>
      </c>
      <c r="D27" s="86" t="s">
        <v>177</v>
      </c>
      <c r="E27" s="86" t="s">
        <v>178</v>
      </c>
      <c r="F27" s="87"/>
      <c r="G27" s="73">
        <v>80</v>
      </c>
      <c r="H27" s="78">
        <v>74</v>
      </c>
      <c r="I27" s="88">
        <f t="shared" si="0"/>
        <v>154</v>
      </c>
      <c r="J27" s="78">
        <v>63</v>
      </c>
      <c r="K27" s="73">
        <v>56</v>
      </c>
      <c r="L27" s="74">
        <f t="shared" si="1"/>
        <v>119</v>
      </c>
      <c r="M27" s="73">
        <v>114</v>
      </c>
      <c r="N27" s="78">
        <v>74</v>
      </c>
      <c r="O27" s="88">
        <f t="shared" si="2"/>
        <v>188</v>
      </c>
      <c r="P27" s="78">
        <v>75</v>
      </c>
      <c r="Q27" s="73">
        <v>43</v>
      </c>
      <c r="R27" s="74">
        <f t="shared" si="3"/>
        <v>118</v>
      </c>
      <c r="S27" s="78">
        <v>85</v>
      </c>
      <c r="T27" s="73">
        <v>57</v>
      </c>
      <c r="U27" s="74">
        <f t="shared" si="4"/>
        <v>142</v>
      </c>
      <c r="V27" s="78">
        <v>48</v>
      </c>
      <c r="W27" s="73">
        <v>52</v>
      </c>
      <c r="X27" s="74">
        <f t="shared" si="5"/>
        <v>100</v>
      </c>
      <c r="Y27" s="78"/>
      <c r="Z27" s="73"/>
      <c r="AA27" s="74"/>
      <c r="AB27" s="68">
        <v>44</v>
      </c>
      <c r="AC27" s="68">
        <v>19</v>
      </c>
      <c r="AD27" s="74">
        <f t="shared" si="6"/>
        <v>63</v>
      </c>
      <c r="AE27" s="73">
        <v>20</v>
      </c>
      <c r="AF27" s="73">
        <v>21</v>
      </c>
      <c r="AG27" s="74">
        <f t="shared" si="7"/>
        <v>41</v>
      </c>
      <c r="AH27" s="78">
        <v>21</v>
      </c>
      <c r="AI27" s="73">
        <v>19</v>
      </c>
      <c r="AJ27" s="74">
        <f t="shared" si="8"/>
        <v>40</v>
      </c>
      <c r="AK27" s="89">
        <v>45</v>
      </c>
      <c r="AL27" s="74">
        <f t="shared" si="9"/>
        <v>902</v>
      </c>
      <c r="AM27" s="90" t="s">
        <v>556</v>
      </c>
      <c r="AN27" s="91"/>
    </row>
    <row r="28" spans="1:40" s="92" customFormat="1" ht="89.25" customHeight="1" x14ac:dyDescent="0.25">
      <c r="A28" s="68">
        <v>21</v>
      </c>
      <c r="B28" s="85">
        <v>180090101021</v>
      </c>
      <c r="C28" s="70">
        <v>180000100073</v>
      </c>
      <c r="D28" s="86" t="s">
        <v>179</v>
      </c>
      <c r="E28" s="86" t="s">
        <v>180</v>
      </c>
      <c r="F28" s="87"/>
      <c r="G28" s="73">
        <v>100</v>
      </c>
      <c r="H28" s="78">
        <v>72</v>
      </c>
      <c r="I28" s="88">
        <f t="shared" si="0"/>
        <v>172</v>
      </c>
      <c r="J28" s="78">
        <v>62</v>
      </c>
      <c r="K28" s="73">
        <v>57</v>
      </c>
      <c r="L28" s="74">
        <f t="shared" si="1"/>
        <v>119</v>
      </c>
      <c r="M28" s="73">
        <v>112</v>
      </c>
      <c r="N28" s="78">
        <v>74</v>
      </c>
      <c r="O28" s="88">
        <f t="shared" si="2"/>
        <v>186</v>
      </c>
      <c r="P28" s="78">
        <v>78</v>
      </c>
      <c r="Q28" s="73">
        <v>48</v>
      </c>
      <c r="R28" s="74">
        <f t="shared" si="3"/>
        <v>126</v>
      </c>
      <c r="S28" s="78">
        <v>85</v>
      </c>
      <c r="T28" s="73">
        <v>57</v>
      </c>
      <c r="U28" s="74">
        <f t="shared" si="4"/>
        <v>142</v>
      </c>
      <c r="V28" s="78">
        <v>53</v>
      </c>
      <c r="W28" s="73">
        <v>49</v>
      </c>
      <c r="X28" s="74">
        <f t="shared" si="5"/>
        <v>102</v>
      </c>
      <c r="Y28" s="78"/>
      <c r="Z28" s="73"/>
      <c r="AA28" s="74"/>
      <c r="AB28" s="68">
        <v>44</v>
      </c>
      <c r="AC28" s="68">
        <v>19</v>
      </c>
      <c r="AD28" s="74">
        <f t="shared" si="6"/>
        <v>63</v>
      </c>
      <c r="AE28" s="73">
        <v>22</v>
      </c>
      <c r="AF28" s="73">
        <v>21</v>
      </c>
      <c r="AG28" s="74">
        <f t="shared" si="7"/>
        <v>43</v>
      </c>
      <c r="AH28" s="78">
        <v>21</v>
      </c>
      <c r="AI28" s="73">
        <v>18</v>
      </c>
      <c r="AJ28" s="74">
        <f t="shared" si="8"/>
        <v>39</v>
      </c>
      <c r="AK28" s="89">
        <v>46</v>
      </c>
      <c r="AL28" s="74">
        <f t="shared" si="9"/>
        <v>929</v>
      </c>
      <c r="AM28" s="90" t="s">
        <v>556</v>
      </c>
      <c r="AN28" s="91"/>
    </row>
    <row r="29" spans="1:40" s="92" customFormat="1" ht="89.25" customHeight="1" x14ac:dyDescent="0.25">
      <c r="A29" s="68">
        <v>22</v>
      </c>
      <c r="B29" s="85">
        <v>180090101022</v>
      </c>
      <c r="C29" s="70">
        <v>180000100074</v>
      </c>
      <c r="D29" s="86" t="s">
        <v>181</v>
      </c>
      <c r="E29" s="86" t="s">
        <v>182</v>
      </c>
      <c r="F29" s="87"/>
      <c r="G29" s="73">
        <v>104</v>
      </c>
      <c r="H29" s="78">
        <v>64</v>
      </c>
      <c r="I29" s="88">
        <f t="shared" si="0"/>
        <v>168</v>
      </c>
      <c r="J29" s="78">
        <v>59</v>
      </c>
      <c r="K29" s="73">
        <v>48</v>
      </c>
      <c r="L29" s="74">
        <f t="shared" si="1"/>
        <v>107</v>
      </c>
      <c r="M29" s="73">
        <v>112</v>
      </c>
      <c r="N29" s="78">
        <v>49</v>
      </c>
      <c r="O29" s="88">
        <f t="shared" si="2"/>
        <v>161</v>
      </c>
      <c r="P29" s="78">
        <v>71</v>
      </c>
      <c r="Q29" s="73">
        <v>48</v>
      </c>
      <c r="R29" s="74">
        <f t="shared" si="3"/>
        <v>119</v>
      </c>
      <c r="S29" s="78">
        <v>85</v>
      </c>
      <c r="T29" s="73">
        <v>54</v>
      </c>
      <c r="U29" s="74">
        <f t="shared" si="4"/>
        <v>139</v>
      </c>
      <c r="V29" s="78">
        <v>51</v>
      </c>
      <c r="W29" s="73">
        <v>41</v>
      </c>
      <c r="X29" s="74">
        <f t="shared" si="5"/>
        <v>92</v>
      </c>
      <c r="Y29" s="78"/>
      <c r="Z29" s="73"/>
      <c r="AA29" s="74"/>
      <c r="AB29" s="68">
        <v>44</v>
      </c>
      <c r="AC29" s="68">
        <v>19</v>
      </c>
      <c r="AD29" s="74">
        <f t="shared" si="6"/>
        <v>63</v>
      </c>
      <c r="AE29" s="73">
        <v>23</v>
      </c>
      <c r="AF29" s="73">
        <v>22</v>
      </c>
      <c r="AG29" s="74">
        <f t="shared" si="7"/>
        <v>45</v>
      </c>
      <c r="AH29" s="78">
        <v>20</v>
      </c>
      <c r="AI29" s="73">
        <v>21</v>
      </c>
      <c r="AJ29" s="74">
        <f t="shared" si="8"/>
        <v>41</v>
      </c>
      <c r="AK29" s="89">
        <v>45</v>
      </c>
      <c r="AL29" s="74">
        <f t="shared" si="9"/>
        <v>872</v>
      </c>
      <c r="AM29" s="90" t="s">
        <v>556</v>
      </c>
      <c r="AN29" s="91"/>
    </row>
    <row r="30" spans="1:40" s="92" customFormat="1" ht="89.25" customHeight="1" x14ac:dyDescent="0.25">
      <c r="A30" s="68">
        <v>23</v>
      </c>
      <c r="B30" s="85">
        <v>180090101023</v>
      </c>
      <c r="C30" s="70">
        <v>180000100075</v>
      </c>
      <c r="D30" s="86" t="s">
        <v>183</v>
      </c>
      <c r="E30" s="86" t="s">
        <v>184</v>
      </c>
      <c r="F30" s="87"/>
      <c r="G30" s="73">
        <v>86</v>
      </c>
      <c r="H30" s="78">
        <v>70</v>
      </c>
      <c r="I30" s="88">
        <f t="shared" si="0"/>
        <v>156</v>
      </c>
      <c r="J30" s="78">
        <v>63</v>
      </c>
      <c r="K30" s="73">
        <v>53</v>
      </c>
      <c r="L30" s="74">
        <f t="shared" si="1"/>
        <v>116</v>
      </c>
      <c r="M30" s="73" t="s">
        <v>557</v>
      </c>
      <c r="N30" s="78">
        <v>74</v>
      </c>
      <c r="O30" s="88">
        <f t="shared" si="2"/>
        <v>74</v>
      </c>
      <c r="P30" s="78">
        <v>74</v>
      </c>
      <c r="Q30" s="73">
        <v>53</v>
      </c>
      <c r="R30" s="74">
        <f t="shared" si="3"/>
        <v>127</v>
      </c>
      <c r="S30" s="78">
        <v>82</v>
      </c>
      <c r="T30" s="73">
        <v>54</v>
      </c>
      <c r="U30" s="74">
        <f t="shared" si="4"/>
        <v>136</v>
      </c>
      <c r="V30" s="78">
        <v>50</v>
      </c>
      <c r="W30" s="73">
        <v>45</v>
      </c>
      <c r="X30" s="74">
        <f t="shared" si="5"/>
        <v>95</v>
      </c>
      <c r="Y30" s="78"/>
      <c r="Z30" s="73"/>
      <c r="AA30" s="74"/>
      <c r="AB30" s="68">
        <v>43</v>
      </c>
      <c r="AC30" s="68">
        <v>19</v>
      </c>
      <c r="AD30" s="74">
        <f t="shared" si="6"/>
        <v>62</v>
      </c>
      <c r="AE30" s="73">
        <v>23</v>
      </c>
      <c r="AF30" s="73">
        <v>20</v>
      </c>
      <c r="AG30" s="74">
        <f t="shared" si="7"/>
        <v>43</v>
      </c>
      <c r="AH30" s="78">
        <v>22</v>
      </c>
      <c r="AI30" s="73">
        <v>24</v>
      </c>
      <c r="AJ30" s="74">
        <f t="shared" si="8"/>
        <v>46</v>
      </c>
      <c r="AK30" s="89">
        <v>45</v>
      </c>
      <c r="AL30" s="74">
        <f t="shared" si="9"/>
        <v>793</v>
      </c>
      <c r="AM30" s="90" t="s">
        <v>556</v>
      </c>
      <c r="AN30" s="91"/>
    </row>
    <row r="31" spans="1:40" s="92" customFormat="1" ht="89.25" customHeight="1" x14ac:dyDescent="0.25">
      <c r="A31" s="68">
        <v>24</v>
      </c>
      <c r="B31" s="85">
        <v>180090101024</v>
      </c>
      <c r="C31" s="70">
        <v>180000100076</v>
      </c>
      <c r="D31" s="93" t="s">
        <v>185</v>
      </c>
      <c r="E31" s="93" t="s">
        <v>186</v>
      </c>
      <c r="F31" s="87"/>
      <c r="G31" s="73">
        <v>96</v>
      </c>
      <c r="H31" s="78">
        <v>74</v>
      </c>
      <c r="I31" s="88">
        <f t="shared" si="0"/>
        <v>170</v>
      </c>
      <c r="J31" s="78">
        <v>66</v>
      </c>
      <c r="K31" s="73">
        <v>46</v>
      </c>
      <c r="L31" s="74">
        <f t="shared" si="1"/>
        <v>112</v>
      </c>
      <c r="M31" s="73">
        <v>104</v>
      </c>
      <c r="N31" s="78">
        <v>57</v>
      </c>
      <c r="O31" s="88">
        <f t="shared" si="2"/>
        <v>161</v>
      </c>
      <c r="P31" s="78">
        <v>71</v>
      </c>
      <c r="Q31" s="73">
        <v>47</v>
      </c>
      <c r="R31" s="74">
        <f t="shared" si="3"/>
        <v>118</v>
      </c>
      <c r="S31" s="78">
        <v>70</v>
      </c>
      <c r="T31" s="73">
        <v>56</v>
      </c>
      <c r="U31" s="74">
        <f t="shared" si="4"/>
        <v>126</v>
      </c>
      <c r="V31" s="78">
        <v>51</v>
      </c>
      <c r="W31" s="73">
        <v>49</v>
      </c>
      <c r="X31" s="74">
        <f t="shared" si="5"/>
        <v>100</v>
      </c>
      <c r="Y31" s="78"/>
      <c r="Z31" s="73"/>
      <c r="AA31" s="74"/>
      <c r="AB31" s="68">
        <v>39</v>
      </c>
      <c r="AC31" s="68">
        <v>20</v>
      </c>
      <c r="AD31" s="74">
        <f t="shared" si="6"/>
        <v>59</v>
      </c>
      <c r="AE31" s="73">
        <v>23</v>
      </c>
      <c r="AF31" s="73">
        <v>21</v>
      </c>
      <c r="AG31" s="74">
        <f t="shared" si="7"/>
        <v>44</v>
      </c>
      <c r="AH31" s="78">
        <v>23</v>
      </c>
      <c r="AI31" s="73">
        <v>24</v>
      </c>
      <c r="AJ31" s="74">
        <f t="shared" si="8"/>
        <v>47</v>
      </c>
      <c r="AK31" s="89">
        <v>50</v>
      </c>
      <c r="AL31" s="74">
        <f t="shared" si="9"/>
        <v>878</v>
      </c>
      <c r="AM31" s="90" t="s">
        <v>556</v>
      </c>
      <c r="AN31" s="91"/>
    </row>
    <row r="32" spans="1:40" s="92" customFormat="1" ht="89.25" customHeight="1" x14ac:dyDescent="0.25">
      <c r="A32" s="68">
        <v>25</v>
      </c>
      <c r="B32" s="85">
        <v>180090101025</v>
      </c>
      <c r="C32" s="70">
        <v>180000100077</v>
      </c>
      <c r="D32" s="93" t="s">
        <v>187</v>
      </c>
      <c r="E32" s="93" t="s">
        <v>188</v>
      </c>
      <c r="F32" s="87"/>
      <c r="G32" s="73">
        <v>98</v>
      </c>
      <c r="H32" s="78">
        <v>73</v>
      </c>
      <c r="I32" s="88">
        <f t="shared" si="0"/>
        <v>171</v>
      </c>
      <c r="J32" s="78">
        <v>63</v>
      </c>
      <c r="K32" s="73">
        <v>53</v>
      </c>
      <c r="L32" s="74">
        <f t="shared" si="1"/>
        <v>116</v>
      </c>
      <c r="M32" s="73">
        <v>106</v>
      </c>
      <c r="N32" s="78">
        <v>57</v>
      </c>
      <c r="O32" s="88">
        <f t="shared" si="2"/>
        <v>163</v>
      </c>
      <c r="P32" s="78">
        <v>77</v>
      </c>
      <c r="Q32" s="73">
        <v>50</v>
      </c>
      <c r="R32" s="74">
        <f t="shared" si="3"/>
        <v>127</v>
      </c>
      <c r="S32" s="78">
        <v>84</v>
      </c>
      <c r="T32" s="73">
        <v>58</v>
      </c>
      <c r="U32" s="74">
        <f t="shared" si="4"/>
        <v>142</v>
      </c>
      <c r="V32" s="78">
        <v>56</v>
      </c>
      <c r="W32" s="73">
        <v>48</v>
      </c>
      <c r="X32" s="74">
        <f t="shared" si="5"/>
        <v>104</v>
      </c>
      <c r="Y32" s="78"/>
      <c r="Z32" s="73"/>
      <c r="AA32" s="74"/>
      <c r="AB32" s="68">
        <v>43</v>
      </c>
      <c r="AC32" s="68">
        <v>19</v>
      </c>
      <c r="AD32" s="74">
        <f t="shared" si="6"/>
        <v>62</v>
      </c>
      <c r="AE32" s="73">
        <v>20</v>
      </c>
      <c r="AF32" s="73">
        <v>21</v>
      </c>
      <c r="AG32" s="74">
        <f t="shared" si="7"/>
        <v>41</v>
      </c>
      <c r="AH32" s="78">
        <v>21</v>
      </c>
      <c r="AI32" s="73">
        <v>22</v>
      </c>
      <c r="AJ32" s="74">
        <f t="shared" si="8"/>
        <v>43</v>
      </c>
      <c r="AK32" s="89">
        <v>50</v>
      </c>
      <c r="AL32" s="74">
        <f t="shared" si="9"/>
        <v>907</v>
      </c>
      <c r="AM32" s="90" t="s">
        <v>556</v>
      </c>
      <c r="AN32" s="91"/>
    </row>
    <row r="33" spans="1:40" s="92" customFormat="1" ht="89.25" customHeight="1" x14ac:dyDescent="0.25">
      <c r="A33" s="68">
        <v>26</v>
      </c>
      <c r="B33" s="85">
        <v>180090101026</v>
      </c>
      <c r="C33" s="70">
        <v>180000100078</v>
      </c>
      <c r="D33" s="86" t="s">
        <v>189</v>
      </c>
      <c r="E33" s="86" t="s">
        <v>190</v>
      </c>
      <c r="F33" s="87"/>
      <c r="G33" s="73">
        <v>98</v>
      </c>
      <c r="H33" s="78">
        <v>69</v>
      </c>
      <c r="I33" s="88">
        <f t="shared" si="0"/>
        <v>167</v>
      </c>
      <c r="J33" s="78">
        <v>63</v>
      </c>
      <c r="K33" s="73">
        <v>52</v>
      </c>
      <c r="L33" s="74">
        <f t="shared" si="1"/>
        <v>115</v>
      </c>
      <c r="M33" s="73">
        <v>104</v>
      </c>
      <c r="N33" s="78">
        <v>74</v>
      </c>
      <c r="O33" s="88">
        <f t="shared" si="2"/>
        <v>178</v>
      </c>
      <c r="P33" s="78">
        <v>74</v>
      </c>
      <c r="Q33" s="73">
        <v>53</v>
      </c>
      <c r="R33" s="74">
        <f t="shared" si="3"/>
        <v>127</v>
      </c>
      <c r="S33" s="78">
        <v>84</v>
      </c>
      <c r="T33" s="73">
        <v>57</v>
      </c>
      <c r="U33" s="74">
        <f t="shared" si="4"/>
        <v>141</v>
      </c>
      <c r="V33" s="78">
        <v>51</v>
      </c>
      <c r="W33" s="73">
        <v>49</v>
      </c>
      <c r="X33" s="74">
        <f t="shared" si="5"/>
        <v>100</v>
      </c>
      <c r="Y33" s="78"/>
      <c r="Z33" s="73"/>
      <c r="AA33" s="74"/>
      <c r="AB33" s="68">
        <v>44</v>
      </c>
      <c r="AC33" s="68">
        <v>19</v>
      </c>
      <c r="AD33" s="74">
        <f t="shared" si="6"/>
        <v>63</v>
      </c>
      <c r="AE33" s="73">
        <v>22</v>
      </c>
      <c r="AF33" s="73">
        <v>21</v>
      </c>
      <c r="AG33" s="74">
        <f t="shared" si="7"/>
        <v>43</v>
      </c>
      <c r="AH33" s="78">
        <v>23</v>
      </c>
      <c r="AI33" s="73">
        <v>20</v>
      </c>
      <c r="AJ33" s="74">
        <f t="shared" si="8"/>
        <v>43</v>
      </c>
      <c r="AK33" s="89">
        <v>45</v>
      </c>
      <c r="AL33" s="74">
        <f t="shared" si="9"/>
        <v>914</v>
      </c>
      <c r="AM33" s="90" t="s">
        <v>556</v>
      </c>
      <c r="AN33" s="91"/>
    </row>
    <row r="34" spans="1:40" s="92" customFormat="1" ht="89.25" customHeight="1" x14ac:dyDescent="0.25">
      <c r="A34" s="68">
        <v>27</v>
      </c>
      <c r="B34" s="85">
        <v>180090101027</v>
      </c>
      <c r="C34" s="70">
        <v>180000100079</v>
      </c>
      <c r="D34" s="86" t="s">
        <v>191</v>
      </c>
      <c r="E34" s="86" t="s">
        <v>192</v>
      </c>
      <c r="F34" s="87"/>
      <c r="G34" s="73">
        <v>102</v>
      </c>
      <c r="H34" s="78">
        <v>73</v>
      </c>
      <c r="I34" s="88">
        <f t="shared" si="0"/>
        <v>175</v>
      </c>
      <c r="J34" s="78">
        <v>60</v>
      </c>
      <c r="K34" s="73">
        <v>55</v>
      </c>
      <c r="L34" s="74">
        <f t="shared" si="1"/>
        <v>115</v>
      </c>
      <c r="M34" s="73">
        <v>112</v>
      </c>
      <c r="N34" s="78">
        <v>74</v>
      </c>
      <c r="O34" s="88">
        <f t="shared" si="2"/>
        <v>186</v>
      </c>
      <c r="P34" s="78">
        <v>77</v>
      </c>
      <c r="Q34" s="73">
        <v>53</v>
      </c>
      <c r="R34" s="74">
        <f t="shared" si="3"/>
        <v>130</v>
      </c>
      <c r="S34" s="78">
        <v>85</v>
      </c>
      <c r="T34" s="73">
        <v>57</v>
      </c>
      <c r="U34" s="74">
        <f t="shared" si="4"/>
        <v>142</v>
      </c>
      <c r="V34" s="78">
        <v>51</v>
      </c>
      <c r="W34" s="73">
        <v>39</v>
      </c>
      <c r="X34" s="74">
        <f t="shared" si="5"/>
        <v>90</v>
      </c>
      <c r="Y34" s="78"/>
      <c r="Z34" s="73"/>
      <c r="AA34" s="74"/>
      <c r="AB34" s="68">
        <v>44</v>
      </c>
      <c r="AC34" s="68">
        <v>20</v>
      </c>
      <c r="AD34" s="74">
        <f t="shared" si="6"/>
        <v>64</v>
      </c>
      <c r="AE34" s="73">
        <v>22</v>
      </c>
      <c r="AF34" s="73">
        <v>21</v>
      </c>
      <c r="AG34" s="74">
        <f t="shared" si="7"/>
        <v>43</v>
      </c>
      <c r="AH34" s="78">
        <v>23</v>
      </c>
      <c r="AI34" s="73">
        <v>23</v>
      </c>
      <c r="AJ34" s="74">
        <f t="shared" si="8"/>
        <v>46</v>
      </c>
      <c r="AK34" s="89">
        <v>50</v>
      </c>
      <c r="AL34" s="74">
        <f t="shared" si="9"/>
        <v>927</v>
      </c>
      <c r="AM34" s="90" t="s">
        <v>556</v>
      </c>
      <c r="AN34" s="91"/>
    </row>
    <row r="35" spans="1:40" s="92" customFormat="1" ht="89.25" customHeight="1" x14ac:dyDescent="0.25">
      <c r="A35" s="68">
        <v>28</v>
      </c>
      <c r="B35" s="85">
        <v>180090101028</v>
      </c>
      <c r="C35" s="70">
        <v>180000100080</v>
      </c>
      <c r="D35" s="86" t="s">
        <v>193</v>
      </c>
      <c r="E35" s="86" t="s">
        <v>194</v>
      </c>
      <c r="F35" s="87"/>
      <c r="G35" s="73">
        <v>94</v>
      </c>
      <c r="H35" s="78">
        <v>68</v>
      </c>
      <c r="I35" s="88">
        <f t="shared" si="0"/>
        <v>162</v>
      </c>
      <c r="J35" s="78">
        <v>62</v>
      </c>
      <c r="K35" s="73">
        <v>51</v>
      </c>
      <c r="L35" s="74">
        <f t="shared" si="1"/>
        <v>113</v>
      </c>
      <c r="M35" s="73">
        <v>112</v>
      </c>
      <c r="N35" s="78">
        <v>57</v>
      </c>
      <c r="O35" s="88">
        <f t="shared" si="2"/>
        <v>169</v>
      </c>
      <c r="P35" s="78">
        <v>75</v>
      </c>
      <c r="Q35" s="73">
        <v>50</v>
      </c>
      <c r="R35" s="74">
        <f t="shared" si="3"/>
        <v>125</v>
      </c>
      <c r="S35" s="78">
        <v>82</v>
      </c>
      <c r="T35" s="73">
        <v>58</v>
      </c>
      <c r="U35" s="74">
        <f t="shared" si="4"/>
        <v>140</v>
      </c>
      <c r="V35" s="78">
        <v>54</v>
      </c>
      <c r="W35" s="73">
        <v>47</v>
      </c>
      <c r="X35" s="74">
        <f t="shared" si="5"/>
        <v>101</v>
      </c>
      <c r="Y35" s="78"/>
      <c r="Z35" s="73"/>
      <c r="AA35" s="74"/>
      <c r="AB35" s="68">
        <v>43</v>
      </c>
      <c r="AC35" s="68">
        <v>19</v>
      </c>
      <c r="AD35" s="74">
        <f t="shared" si="6"/>
        <v>62</v>
      </c>
      <c r="AE35" s="73">
        <v>22</v>
      </c>
      <c r="AF35" s="73">
        <v>21</v>
      </c>
      <c r="AG35" s="74">
        <f t="shared" si="7"/>
        <v>43</v>
      </c>
      <c r="AH35" s="78">
        <v>18</v>
      </c>
      <c r="AI35" s="73">
        <v>15</v>
      </c>
      <c r="AJ35" s="74">
        <f t="shared" si="8"/>
        <v>33</v>
      </c>
      <c r="AK35" s="89">
        <v>50</v>
      </c>
      <c r="AL35" s="74">
        <f t="shared" si="9"/>
        <v>886</v>
      </c>
      <c r="AM35" s="90" t="s">
        <v>556</v>
      </c>
      <c r="AN35" s="91"/>
    </row>
    <row r="36" spans="1:40" s="92" customFormat="1" ht="89.25" customHeight="1" x14ac:dyDescent="0.25">
      <c r="A36" s="68">
        <v>29</v>
      </c>
      <c r="B36" s="85">
        <v>180090101029</v>
      </c>
      <c r="C36" s="70">
        <v>180000100081</v>
      </c>
      <c r="D36" s="86" t="s">
        <v>195</v>
      </c>
      <c r="E36" s="86" t="s">
        <v>196</v>
      </c>
      <c r="F36" s="87"/>
      <c r="G36" s="73">
        <v>88</v>
      </c>
      <c r="H36" s="78">
        <v>73</v>
      </c>
      <c r="I36" s="88">
        <f t="shared" si="0"/>
        <v>161</v>
      </c>
      <c r="J36" s="78">
        <v>59</v>
      </c>
      <c r="K36" s="73">
        <v>41</v>
      </c>
      <c r="L36" s="74">
        <f t="shared" si="1"/>
        <v>100</v>
      </c>
      <c r="M36" s="73">
        <v>112</v>
      </c>
      <c r="N36" s="78">
        <v>74</v>
      </c>
      <c r="O36" s="88">
        <f t="shared" si="2"/>
        <v>186</v>
      </c>
      <c r="P36" s="78">
        <v>71</v>
      </c>
      <c r="Q36" s="73">
        <v>42</v>
      </c>
      <c r="R36" s="74">
        <f t="shared" si="3"/>
        <v>113</v>
      </c>
      <c r="S36" s="78">
        <v>81</v>
      </c>
      <c r="T36" s="73">
        <v>56</v>
      </c>
      <c r="U36" s="74">
        <f t="shared" si="4"/>
        <v>137</v>
      </c>
      <c r="V36" s="78">
        <v>51</v>
      </c>
      <c r="W36" s="73">
        <v>44</v>
      </c>
      <c r="X36" s="74">
        <f t="shared" si="5"/>
        <v>95</v>
      </c>
      <c r="Y36" s="78"/>
      <c r="Z36" s="73"/>
      <c r="AA36" s="74"/>
      <c r="AB36" s="68">
        <v>30</v>
      </c>
      <c r="AC36" s="68">
        <v>20</v>
      </c>
      <c r="AD36" s="74">
        <f t="shared" si="6"/>
        <v>50</v>
      </c>
      <c r="AE36" s="73">
        <v>20</v>
      </c>
      <c r="AF36" s="73">
        <v>22</v>
      </c>
      <c r="AG36" s="74">
        <f t="shared" si="7"/>
        <v>42</v>
      </c>
      <c r="AH36" s="78">
        <v>20</v>
      </c>
      <c r="AI36" s="73">
        <v>18</v>
      </c>
      <c r="AJ36" s="74">
        <f t="shared" si="8"/>
        <v>38</v>
      </c>
      <c r="AK36" s="89">
        <v>46</v>
      </c>
      <c r="AL36" s="74">
        <f t="shared" si="9"/>
        <v>872</v>
      </c>
      <c r="AM36" s="90" t="s">
        <v>556</v>
      </c>
      <c r="AN36" s="91"/>
    </row>
    <row r="37" spans="1:40" s="92" customFormat="1" ht="89.25" customHeight="1" x14ac:dyDescent="0.25">
      <c r="A37" s="68">
        <v>30</v>
      </c>
      <c r="B37" s="85">
        <v>180090101031</v>
      </c>
      <c r="C37" s="70">
        <v>180000100083</v>
      </c>
      <c r="D37" s="94" t="s">
        <v>600</v>
      </c>
      <c r="E37" s="95" t="s">
        <v>197</v>
      </c>
      <c r="F37" s="87"/>
      <c r="G37" s="73">
        <v>96</v>
      </c>
      <c r="H37" s="78">
        <v>71</v>
      </c>
      <c r="I37" s="88">
        <f t="shared" si="0"/>
        <v>167</v>
      </c>
      <c r="J37" s="78">
        <v>68</v>
      </c>
      <c r="K37" s="96">
        <v>46</v>
      </c>
      <c r="L37" s="74">
        <f t="shared" si="1"/>
        <v>114</v>
      </c>
      <c r="M37" s="73">
        <v>108</v>
      </c>
      <c r="N37" s="78">
        <v>71</v>
      </c>
      <c r="O37" s="88">
        <f t="shared" si="2"/>
        <v>179</v>
      </c>
      <c r="P37" s="78">
        <v>77</v>
      </c>
      <c r="Q37" s="96">
        <v>53</v>
      </c>
      <c r="R37" s="74">
        <f t="shared" si="3"/>
        <v>130</v>
      </c>
      <c r="S37" s="78">
        <v>85</v>
      </c>
      <c r="T37" s="96">
        <v>58</v>
      </c>
      <c r="U37" s="74">
        <f t="shared" si="4"/>
        <v>143</v>
      </c>
      <c r="V37" s="78">
        <v>54</v>
      </c>
      <c r="W37" s="96">
        <v>50</v>
      </c>
      <c r="X37" s="74">
        <f t="shared" si="5"/>
        <v>104</v>
      </c>
      <c r="Y37" s="78"/>
      <c r="Z37" s="96"/>
      <c r="AA37" s="74"/>
      <c r="AB37" s="68">
        <v>45</v>
      </c>
      <c r="AC37" s="68">
        <v>20</v>
      </c>
      <c r="AD37" s="74">
        <f t="shared" si="6"/>
        <v>65</v>
      </c>
      <c r="AE37" s="73">
        <v>23</v>
      </c>
      <c r="AF37" s="73">
        <v>19</v>
      </c>
      <c r="AG37" s="74">
        <f t="shared" si="7"/>
        <v>42</v>
      </c>
      <c r="AH37" s="78">
        <v>22</v>
      </c>
      <c r="AI37" s="73">
        <v>19</v>
      </c>
      <c r="AJ37" s="74">
        <f t="shared" si="8"/>
        <v>41</v>
      </c>
      <c r="AK37" s="89">
        <v>45</v>
      </c>
      <c r="AL37" s="74">
        <f t="shared" si="9"/>
        <v>920</v>
      </c>
      <c r="AM37" s="90" t="s">
        <v>556</v>
      </c>
      <c r="AN37" s="91"/>
    </row>
    <row r="38" spans="1:40" s="92" customFormat="1" ht="89.25" customHeight="1" x14ac:dyDescent="0.25">
      <c r="A38" s="68">
        <v>31</v>
      </c>
      <c r="B38" s="85">
        <v>180090101032</v>
      </c>
      <c r="C38" s="70">
        <v>180000100084</v>
      </c>
      <c r="D38" s="94" t="s">
        <v>198</v>
      </c>
      <c r="E38" s="95" t="s">
        <v>199</v>
      </c>
      <c r="F38" s="87"/>
      <c r="G38" s="73">
        <v>102</v>
      </c>
      <c r="H38" s="78">
        <v>72</v>
      </c>
      <c r="I38" s="88">
        <f t="shared" si="0"/>
        <v>174</v>
      </c>
      <c r="J38" s="78">
        <v>65</v>
      </c>
      <c r="K38" s="96">
        <v>42</v>
      </c>
      <c r="L38" s="74">
        <f t="shared" si="1"/>
        <v>107</v>
      </c>
      <c r="M38" s="73">
        <v>110</v>
      </c>
      <c r="N38" s="78">
        <v>56</v>
      </c>
      <c r="O38" s="88">
        <f t="shared" si="2"/>
        <v>166</v>
      </c>
      <c r="P38" s="78">
        <v>78</v>
      </c>
      <c r="Q38" s="96">
        <v>47</v>
      </c>
      <c r="R38" s="74">
        <f t="shared" si="3"/>
        <v>125</v>
      </c>
      <c r="S38" s="78">
        <v>84</v>
      </c>
      <c r="T38" s="96">
        <v>57</v>
      </c>
      <c r="U38" s="74">
        <f t="shared" si="4"/>
        <v>141</v>
      </c>
      <c r="V38" s="78">
        <v>53</v>
      </c>
      <c r="W38" s="96">
        <v>48</v>
      </c>
      <c r="X38" s="74">
        <f t="shared" si="5"/>
        <v>101</v>
      </c>
      <c r="Y38" s="78"/>
      <c r="Z38" s="96"/>
      <c r="AA38" s="74"/>
      <c r="AB38" s="68">
        <v>40</v>
      </c>
      <c r="AC38" s="68">
        <v>19</v>
      </c>
      <c r="AD38" s="74">
        <f t="shared" si="6"/>
        <v>59</v>
      </c>
      <c r="AE38" s="73">
        <v>23</v>
      </c>
      <c r="AF38" s="73">
        <v>22</v>
      </c>
      <c r="AG38" s="74">
        <f t="shared" si="7"/>
        <v>45</v>
      </c>
      <c r="AH38" s="78">
        <v>21</v>
      </c>
      <c r="AI38" s="73">
        <v>16</v>
      </c>
      <c r="AJ38" s="74">
        <f t="shared" si="8"/>
        <v>37</v>
      </c>
      <c r="AK38" s="89">
        <v>50</v>
      </c>
      <c r="AL38" s="74">
        <f t="shared" si="9"/>
        <v>896</v>
      </c>
      <c r="AM38" s="90" t="s">
        <v>556</v>
      </c>
      <c r="AN38" s="91"/>
    </row>
    <row r="39" spans="1:40" s="92" customFormat="1" ht="89.25" customHeight="1" x14ac:dyDescent="0.25">
      <c r="A39" s="68">
        <v>32</v>
      </c>
      <c r="B39" s="85">
        <v>180090101033</v>
      </c>
      <c r="C39" s="70">
        <v>180000100085</v>
      </c>
      <c r="D39" s="94" t="s">
        <v>200</v>
      </c>
      <c r="E39" s="95" t="s">
        <v>201</v>
      </c>
      <c r="F39" s="87"/>
      <c r="G39" s="73">
        <v>100</v>
      </c>
      <c r="H39" s="78">
        <v>72</v>
      </c>
      <c r="I39" s="88">
        <f t="shared" si="0"/>
        <v>172</v>
      </c>
      <c r="J39" s="78">
        <v>62</v>
      </c>
      <c r="K39" s="96">
        <v>38</v>
      </c>
      <c r="L39" s="74">
        <f t="shared" si="1"/>
        <v>100</v>
      </c>
      <c r="M39" s="73">
        <v>112</v>
      </c>
      <c r="N39" s="78">
        <v>69</v>
      </c>
      <c r="O39" s="88">
        <f t="shared" si="2"/>
        <v>181</v>
      </c>
      <c r="P39" s="78">
        <v>71</v>
      </c>
      <c r="Q39" s="96">
        <v>52</v>
      </c>
      <c r="R39" s="74">
        <f t="shared" si="3"/>
        <v>123</v>
      </c>
      <c r="S39" s="78">
        <v>85</v>
      </c>
      <c r="T39" s="96">
        <v>58</v>
      </c>
      <c r="U39" s="74">
        <f t="shared" si="4"/>
        <v>143</v>
      </c>
      <c r="V39" s="78"/>
      <c r="W39" s="96" t="s">
        <v>558</v>
      </c>
      <c r="X39" s="74"/>
      <c r="Y39" s="78">
        <v>66</v>
      </c>
      <c r="Z39" s="96">
        <v>49</v>
      </c>
      <c r="AA39" s="74">
        <f>SUM(Y39:Z39)</f>
        <v>115</v>
      </c>
      <c r="AB39" s="68">
        <v>44</v>
      </c>
      <c r="AC39" s="68">
        <v>19</v>
      </c>
      <c r="AD39" s="74">
        <f t="shared" si="6"/>
        <v>63</v>
      </c>
      <c r="AE39" s="73">
        <v>21</v>
      </c>
      <c r="AF39" s="73">
        <v>19</v>
      </c>
      <c r="AG39" s="74">
        <f t="shared" si="7"/>
        <v>40</v>
      </c>
      <c r="AH39" s="78">
        <v>17</v>
      </c>
      <c r="AI39" s="73">
        <v>15</v>
      </c>
      <c r="AJ39" s="74">
        <f t="shared" si="8"/>
        <v>32</v>
      </c>
      <c r="AK39" s="89">
        <v>45</v>
      </c>
      <c r="AL39" s="74">
        <f t="shared" si="9"/>
        <v>791</v>
      </c>
      <c r="AM39" s="90" t="s">
        <v>556</v>
      </c>
      <c r="AN39" s="91"/>
    </row>
    <row r="40" spans="1:40" s="92" customFormat="1" ht="89.25" customHeight="1" x14ac:dyDescent="0.25">
      <c r="A40" s="68">
        <v>33</v>
      </c>
      <c r="B40" s="85">
        <v>180090101034</v>
      </c>
      <c r="C40" s="70">
        <v>180000100086</v>
      </c>
      <c r="D40" s="94" t="s">
        <v>202</v>
      </c>
      <c r="E40" s="95" t="s">
        <v>203</v>
      </c>
      <c r="F40" s="87"/>
      <c r="G40" s="73">
        <v>92</v>
      </c>
      <c r="H40" s="78">
        <v>67</v>
      </c>
      <c r="I40" s="88">
        <f t="shared" si="0"/>
        <v>159</v>
      </c>
      <c r="J40" s="78">
        <v>69</v>
      </c>
      <c r="K40" s="96">
        <v>46</v>
      </c>
      <c r="L40" s="74">
        <f t="shared" si="1"/>
        <v>115</v>
      </c>
      <c r="M40" s="73">
        <v>112</v>
      </c>
      <c r="N40" s="78">
        <v>69</v>
      </c>
      <c r="O40" s="88">
        <f t="shared" si="2"/>
        <v>181</v>
      </c>
      <c r="P40" s="78">
        <v>77</v>
      </c>
      <c r="Q40" s="96">
        <v>45</v>
      </c>
      <c r="R40" s="74">
        <f t="shared" si="3"/>
        <v>122</v>
      </c>
      <c r="S40" s="78">
        <v>82</v>
      </c>
      <c r="T40" s="96">
        <v>56</v>
      </c>
      <c r="U40" s="74">
        <f t="shared" si="4"/>
        <v>138</v>
      </c>
      <c r="V40" s="78">
        <v>54</v>
      </c>
      <c r="W40" s="96">
        <v>38</v>
      </c>
      <c r="X40" s="74">
        <f t="shared" si="5"/>
        <v>92</v>
      </c>
      <c r="Y40" s="78"/>
      <c r="Z40" s="96"/>
      <c r="AA40" s="74"/>
      <c r="AB40" s="68">
        <v>42</v>
      </c>
      <c r="AC40" s="68">
        <v>19</v>
      </c>
      <c r="AD40" s="74">
        <f t="shared" si="6"/>
        <v>61</v>
      </c>
      <c r="AE40" s="73">
        <v>21</v>
      </c>
      <c r="AF40" s="73">
        <v>22</v>
      </c>
      <c r="AG40" s="74">
        <f t="shared" si="7"/>
        <v>43</v>
      </c>
      <c r="AH40" s="78">
        <v>21</v>
      </c>
      <c r="AI40" s="73">
        <v>17</v>
      </c>
      <c r="AJ40" s="74">
        <f t="shared" si="8"/>
        <v>38</v>
      </c>
      <c r="AK40" s="89">
        <v>50</v>
      </c>
      <c r="AL40" s="74">
        <f t="shared" si="9"/>
        <v>888</v>
      </c>
      <c r="AM40" s="90" t="s">
        <v>556</v>
      </c>
      <c r="AN40" s="91"/>
    </row>
    <row r="41" spans="1:40" s="92" customFormat="1" ht="89.25" customHeight="1" x14ac:dyDescent="0.25">
      <c r="A41" s="68">
        <v>34</v>
      </c>
      <c r="B41" s="85">
        <v>180090101035</v>
      </c>
      <c r="C41" s="70">
        <v>180000100087</v>
      </c>
      <c r="D41" s="97" t="s">
        <v>204</v>
      </c>
      <c r="E41" s="98" t="s">
        <v>205</v>
      </c>
      <c r="F41" s="87"/>
      <c r="G41" s="73">
        <v>98</v>
      </c>
      <c r="H41" s="78">
        <v>74</v>
      </c>
      <c r="I41" s="88">
        <f t="shared" si="0"/>
        <v>172</v>
      </c>
      <c r="J41" s="78">
        <v>65</v>
      </c>
      <c r="K41" s="96">
        <v>53</v>
      </c>
      <c r="L41" s="74">
        <f t="shared" si="1"/>
        <v>118</v>
      </c>
      <c r="M41" s="73">
        <v>112</v>
      </c>
      <c r="N41" s="78">
        <v>57</v>
      </c>
      <c r="O41" s="88">
        <f t="shared" si="2"/>
        <v>169</v>
      </c>
      <c r="P41" s="78">
        <v>78</v>
      </c>
      <c r="Q41" s="96">
        <v>51</v>
      </c>
      <c r="R41" s="74">
        <f t="shared" si="3"/>
        <v>129</v>
      </c>
      <c r="S41" s="78">
        <v>85</v>
      </c>
      <c r="T41" s="96">
        <v>57</v>
      </c>
      <c r="U41" s="74">
        <f t="shared" si="4"/>
        <v>142</v>
      </c>
      <c r="V41" s="78">
        <v>50</v>
      </c>
      <c r="W41" s="96">
        <v>48</v>
      </c>
      <c r="X41" s="74">
        <f t="shared" si="5"/>
        <v>98</v>
      </c>
      <c r="Y41" s="78"/>
      <c r="Z41" s="96"/>
      <c r="AA41" s="74"/>
      <c r="AB41" s="68">
        <v>44</v>
      </c>
      <c r="AC41" s="68">
        <v>19</v>
      </c>
      <c r="AD41" s="74">
        <f t="shared" si="6"/>
        <v>63</v>
      </c>
      <c r="AE41" s="73">
        <v>21</v>
      </c>
      <c r="AF41" s="73">
        <v>22</v>
      </c>
      <c r="AG41" s="74">
        <f t="shared" si="7"/>
        <v>43</v>
      </c>
      <c r="AH41" s="78">
        <v>23</v>
      </c>
      <c r="AI41" s="73">
        <v>23</v>
      </c>
      <c r="AJ41" s="74">
        <f t="shared" si="8"/>
        <v>46</v>
      </c>
      <c r="AK41" s="89">
        <v>50</v>
      </c>
      <c r="AL41" s="74">
        <f t="shared" si="9"/>
        <v>917</v>
      </c>
      <c r="AM41" s="90" t="s">
        <v>556</v>
      </c>
      <c r="AN41" s="91"/>
    </row>
    <row r="42" spans="1:40" s="92" customFormat="1" ht="89.25" customHeight="1" x14ac:dyDescent="0.25">
      <c r="A42" s="68">
        <v>35</v>
      </c>
      <c r="B42" s="85">
        <v>180090101036</v>
      </c>
      <c r="C42" s="70">
        <v>180000100088</v>
      </c>
      <c r="D42" s="94" t="s">
        <v>206</v>
      </c>
      <c r="E42" s="95" t="s">
        <v>207</v>
      </c>
      <c r="F42" s="87"/>
      <c r="G42" s="73">
        <v>68</v>
      </c>
      <c r="H42" s="78">
        <v>70</v>
      </c>
      <c r="I42" s="88">
        <f t="shared" si="0"/>
        <v>138</v>
      </c>
      <c r="J42" s="78">
        <v>57</v>
      </c>
      <c r="K42" s="96">
        <v>52</v>
      </c>
      <c r="L42" s="74">
        <f t="shared" si="1"/>
        <v>109</v>
      </c>
      <c r="M42" s="73">
        <v>102</v>
      </c>
      <c r="N42" s="78">
        <v>57</v>
      </c>
      <c r="O42" s="88">
        <f t="shared" si="2"/>
        <v>159</v>
      </c>
      <c r="P42" s="78">
        <v>78</v>
      </c>
      <c r="Q42" s="96">
        <v>47</v>
      </c>
      <c r="R42" s="74">
        <f t="shared" si="3"/>
        <v>125</v>
      </c>
      <c r="S42" s="78">
        <v>82</v>
      </c>
      <c r="T42" s="96">
        <v>56</v>
      </c>
      <c r="U42" s="74">
        <f t="shared" si="4"/>
        <v>138</v>
      </c>
      <c r="V42" s="78">
        <v>51</v>
      </c>
      <c r="W42" s="96">
        <v>40</v>
      </c>
      <c r="X42" s="74">
        <f t="shared" si="5"/>
        <v>91</v>
      </c>
      <c r="Y42" s="78"/>
      <c r="Z42" s="96"/>
      <c r="AA42" s="74"/>
      <c r="AB42" s="68">
        <v>41</v>
      </c>
      <c r="AC42" s="68">
        <v>19</v>
      </c>
      <c r="AD42" s="74">
        <f t="shared" si="6"/>
        <v>60</v>
      </c>
      <c r="AE42" s="73">
        <v>22</v>
      </c>
      <c r="AF42" s="73">
        <v>21</v>
      </c>
      <c r="AG42" s="74">
        <f t="shared" si="7"/>
        <v>43</v>
      </c>
      <c r="AH42" s="78">
        <v>21</v>
      </c>
      <c r="AI42" s="73">
        <v>23</v>
      </c>
      <c r="AJ42" s="74">
        <f t="shared" si="8"/>
        <v>44</v>
      </c>
      <c r="AK42" s="89">
        <v>47</v>
      </c>
      <c r="AL42" s="74">
        <f t="shared" si="9"/>
        <v>847</v>
      </c>
      <c r="AM42" s="90" t="s">
        <v>556</v>
      </c>
      <c r="AN42" s="91"/>
    </row>
    <row r="43" spans="1:40" s="92" customFormat="1" ht="89.25" customHeight="1" x14ac:dyDescent="0.25">
      <c r="A43" s="68">
        <v>36</v>
      </c>
      <c r="B43" s="85">
        <v>180090101037</v>
      </c>
      <c r="C43" s="70">
        <v>180000100089</v>
      </c>
      <c r="D43" s="97" t="s">
        <v>208</v>
      </c>
      <c r="E43" s="98" t="s">
        <v>209</v>
      </c>
      <c r="F43" s="87"/>
      <c r="G43" s="73">
        <v>102</v>
      </c>
      <c r="H43" s="78">
        <v>70</v>
      </c>
      <c r="I43" s="88">
        <f t="shared" si="0"/>
        <v>172</v>
      </c>
      <c r="J43" s="78">
        <v>60</v>
      </c>
      <c r="K43" s="96">
        <v>45</v>
      </c>
      <c r="L43" s="74">
        <f t="shared" si="1"/>
        <v>105</v>
      </c>
      <c r="M43" s="73">
        <v>112</v>
      </c>
      <c r="N43" s="78">
        <v>57</v>
      </c>
      <c r="O43" s="88">
        <f t="shared" si="2"/>
        <v>169</v>
      </c>
      <c r="P43" s="78">
        <v>75</v>
      </c>
      <c r="Q43" s="96">
        <v>50</v>
      </c>
      <c r="R43" s="74">
        <f t="shared" si="3"/>
        <v>125</v>
      </c>
      <c r="S43" s="78">
        <v>85</v>
      </c>
      <c r="T43" s="96">
        <v>56</v>
      </c>
      <c r="U43" s="74">
        <f t="shared" si="4"/>
        <v>141</v>
      </c>
      <c r="V43" s="78">
        <v>50</v>
      </c>
      <c r="W43" s="96">
        <v>48</v>
      </c>
      <c r="X43" s="74">
        <f t="shared" si="5"/>
        <v>98</v>
      </c>
      <c r="Y43" s="78"/>
      <c r="Z43" s="96"/>
      <c r="AA43" s="74"/>
      <c r="AB43" s="68">
        <v>43</v>
      </c>
      <c r="AC43" s="68">
        <v>19</v>
      </c>
      <c r="AD43" s="74">
        <f t="shared" si="6"/>
        <v>62</v>
      </c>
      <c r="AE43" s="73">
        <v>20</v>
      </c>
      <c r="AF43" s="73">
        <v>22</v>
      </c>
      <c r="AG43" s="74">
        <f t="shared" si="7"/>
        <v>42</v>
      </c>
      <c r="AH43" s="78">
        <v>20</v>
      </c>
      <c r="AI43" s="73">
        <v>20</v>
      </c>
      <c r="AJ43" s="74">
        <f t="shared" si="8"/>
        <v>40</v>
      </c>
      <c r="AK43" s="89">
        <v>47</v>
      </c>
      <c r="AL43" s="74">
        <f t="shared" si="9"/>
        <v>892</v>
      </c>
      <c r="AM43" s="90" t="s">
        <v>556</v>
      </c>
      <c r="AN43" s="91"/>
    </row>
    <row r="44" spans="1:40" s="92" customFormat="1" ht="89.25" customHeight="1" x14ac:dyDescent="0.25">
      <c r="A44" s="68">
        <v>37</v>
      </c>
      <c r="B44" s="85">
        <v>180090101038</v>
      </c>
      <c r="C44" s="70">
        <v>180000100090</v>
      </c>
      <c r="D44" s="97" t="s">
        <v>210</v>
      </c>
      <c r="E44" s="98" t="s">
        <v>211</v>
      </c>
      <c r="F44" s="87"/>
      <c r="G44" s="73">
        <v>96</v>
      </c>
      <c r="H44" s="78">
        <v>68</v>
      </c>
      <c r="I44" s="88">
        <f t="shared" si="0"/>
        <v>164</v>
      </c>
      <c r="J44" s="78">
        <v>62</v>
      </c>
      <c r="K44" s="96">
        <v>45</v>
      </c>
      <c r="L44" s="74">
        <f t="shared" si="1"/>
        <v>107</v>
      </c>
      <c r="M44" s="73">
        <v>108</v>
      </c>
      <c r="N44" s="78">
        <v>71</v>
      </c>
      <c r="O44" s="88">
        <f t="shared" si="2"/>
        <v>179</v>
      </c>
      <c r="P44" s="78">
        <v>72</v>
      </c>
      <c r="Q44" s="96">
        <v>48</v>
      </c>
      <c r="R44" s="74">
        <f t="shared" si="3"/>
        <v>120</v>
      </c>
      <c r="S44" s="78">
        <v>85</v>
      </c>
      <c r="T44" s="96">
        <v>57</v>
      </c>
      <c r="U44" s="74">
        <f t="shared" si="4"/>
        <v>142</v>
      </c>
      <c r="V44" s="78">
        <v>50</v>
      </c>
      <c r="W44" s="96">
        <v>45</v>
      </c>
      <c r="X44" s="74">
        <f t="shared" si="5"/>
        <v>95</v>
      </c>
      <c r="Y44" s="78"/>
      <c r="Z44" s="96"/>
      <c r="AA44" s="74"/>
      <c r="AB44" s="68">
        <v>43</v>
      </c>
      <c r="AC44" s="68">
        <v>19</v>
      </c>
      <c r="AD44" s="74">
        <f t="shared" si="6"/>
        <v>62</v>
      </c>
      <c r="AE44" s="73">
        <v>22</v>
      </c>
      <c r="AF44" s="73">
        <v>19</v>
      </c>
      <c r="AG44" s="74">
        <f t="shared" si="7"/>
        <v>41</v>
      </c>
      <c r="AH44" s="78">
        <v>22</v>
      </c>
      <c r="AI44" s="73">
        <v>18</v>
      </c>
      <c r="AJ44" s="74">
        <f t="shared" si="8"/>
        <v>40</v>
      </c>
      <c r="AK44" s="89">
        <v>45</v>
      </c>
      <c r="AL44" s="74">
        <f t="shared" si="9"/>
        <v>888</v>
      </c>
      <c r="AM44" s="90" t="s">
        <v>556</v>
      </c>
      <c r="AN44" s="91"/>
    </row>
    <row r="45" spans="1:40" s="92" customFormat="1" ht="89.25" customHeight="1" x14ac:dyDescent="0.25">
      <c r="A45" s="68">
        <v>38</v>
      </c>
      <c r="B45" s="85">
        <v>180090101039</v>
      </c>
      <c r="C45" s="70">
        <v>180000100091</v>
      </c>
      <c r="D45" s="94" t="s">
        <v>212</v>
      </c>
      <c r="E45" s="95" t="s">
        <v>213</v>
      </c>
      <c r="F45" s="87"/>
      <c r="G45" s="73">
        <v>98</v>
      </c>
      <c r="H45" s="78">
        <v>73</v>
      </c>
      <c r="I45" s="88">
        <f t="shared" si="0"/>
        <v>171</v>
      </c>
      <c r="J45" s="78">
        <v>59</v>
      </c>
      <c r="K45" s="96">
        <v>47</v>
      </c>
      <c r="L45" s="74">
        <f t="shared" si="1"/>
        <v>106</v>
      </c>
      <c r="M45" s="73">
        <v>96</v>
      </c>
      <c r="N45" s="78">
        <v>74</v>
      </c>
      <c r="O45" s="88">
        <f t="shared" si="2"/>
        <v>170</v>
      </c>
      <c r="P45" s="78">
        <v>72</v>
      </c>
      <c r="Q45" s="96">
        <v>50</v>
      </c>
      <c r="R45" s="74">
        <f t="shared" si="3"/>
        <v>122</v>
      </c>
      <c r="S45" s="78">
        <v>79</v>
      </c>
      <c r="T45" s="96">
        <v>57</v>
      </c>
      <c r="U45" s="74">
        <f t="shared" si="4"/>
        <v>136</v>
      </c>
      <c r="V45" s="78">
        <v>51</v>
      </c>
      <c r="W45" s="96">
        <v>46</v>
      </c>
      <c r="X45" s="74">
        <f t="shared" si="5"/>
        <v>97</v>
      </c>
      <c r="Y45" s="78"/>
      <c r="Z45" s="96"/>
      <c r="AA45" s="74"/>
      <c r="AB45" s="68">
        <v>44</v>
      </c>
      <c r="AC45" s="68">
        <v>19</v>
      </c>
      <c r="AD45" s="74">
        <f t="shared" si="6"/>
        <v>63</v>
      </c>
      <c r="AE45" s="73">
        <v>22</v>
      </c>
      <c r="AF45" s="73">
        <v>22</v>
      </c>
      <c r="AG45" s="74">
        <f t="shared" si="7"/>
        <v>44</v>
      </c>
      <c r="AH45" s="78">
        <v>20</v>
      </c>
      <c r="AI45" s="73">
        <v>18</v>
      </c>
      <c r="AJ45" s="74">
        <f t="shared" si="8"/>
        <v>38</v>
      </c>
      <c r="AK45" s="89">
        <v>50</v>
      </c>
      <c r="AL45" s="74">
        <f t="shared" si="9"/>
        <v>884</v>
      </c>
      <c r="AM45" s="90" t="s">
        <v>556</v>
      </c>
      <c r="AN45" s="91"/>
    </row>
    <row r="46" spans="1:40" s="92" customFormat="1" ht="89.25" customHeight="1" x14ac:dyDescent="0.25">
      <c r="A46" s="68">
        <v>39</v>
      </c>
      <c r="B46" s="85">
        <v>180090101040</v>
      </c>
      <c r="C46" s="70">
        <v>180000100092</v>
      </c>
      <c r="D46" s="97" t="s">
        <v>214</v>
      </c>
      <c r="E46" s="98" t="s">
        <v>215</v>
      </c>
      <c r="F46" s="87"/>
      <c r="G46" s="73">
        <v>98</v>
      </c>
      <c r="H46" s="78">
        <v>74</v>
      </c>
      <c r="I46" s="88">
        <f t="shared" si="0"/>
        <v>172</v>
      </c>
      <c r="J46" s="78">
        <v>62</v>
      </c>
      <c r="K46" s="96">
        <v>53</v>
      </c>
      <c r="L46" s="74">
        <f t="shared" si="1"/>
        <v>115</v>
      </c>
      <c r="M46" s="73">
        <v>110</v>
      </c>
      <c r="N46" s="78">
        <v>74</v>
      </c>
      <c r="O46" s="88">
        <f t="shared" si="2"/>
        <v>184</v>
      </c>
      <c r="P46" s="78">
        <v>75</v>
      </c>
      <c r="Q46" s="96">
        <v>39</v>
      </c>
      <c r="R46" s="74">
        <f t="shared" si="3"/>
        <v>114</v>
      </c>
      <c r="S46" s="78">
        <v>84</v>
      </c>
      <c r="T46" s="96">
        <v>57</v>
      </c>
      <c r="U46" s="74">
        <f t="shared" si="4"/>
        <v>141</v>
      </c>
      <c r="V46" s="78">
        <v>51</v>
      </c>
      <c r="W46" s="96">
        <v>48</v>
      </c>
      <c r="X46" s="74">
        <f t="shared" si="5"/>
        <v>99</v>
      </c>
      <c r="Y46" s="78"/>
      <c r="Z46" s="96"/>
      <c r="AA46" s="74"/>
      <c r="AB46" s="68">
        <v>44</v>
      </c>
      <c r="AC46" s="68">
        <v>19</v>
      </c>
      <c r="AD46" s="74">
        <f t="shared" si="6"/>
        <v>63</v>
      </c>
      <c r="AE46" s="73">
        <v>23</v>
      </c>
      <c r="AF46" s="73">
        <v>21</v>
      </c>
      <c r="AG46" s="74">
        <f t="shared" si="7"/>
        <v>44</v>
      </c>
      <c r="AH46" s="78">
        <v>22</v>
      </c>
      <c r="AI46" s="73">
        <v>22</v>
      </c>
      <c r="AJ46" s="74">
        <f t="shared" si="8"/>
        <v>44</v>
      </c>
      <c r="AK46" s="89">
        <v>45</v>
      </c>
      <c r="AL46" s="74">
        <f t="shared" si="9"/>
        <v>913</v>
      </c>
      <c r="AM46" s="90" t="s">
        <v>556</v>
      </c>
      <c r="AN46" s="91"/>
    </row>
    <row r="47" spans="1:40" s="92" customFormat="1" ht="89.25" customHeight="1" x14ac:dyDescent="0.25">
      <c r="A47" s="68">
        <v>40</v>
      </c>
      <c r="B47" s="85">
        <v>180090101041</v>
      </c>
      <c r="C47" s="70">
        <v>180000100093</v>
      </c>
      <c r="D47" s="97" t="s">
        <v>37</v>
      </c>
      <c r="E47" s="98" t="s">
        <v>216</v>
      </c>
      <c r="F47" s="87"/>
      <c r="G47" s="73">
        <v>98</v>
      </c>
      <c r="H47" s="78">
        <v>74</v>
      </c>
      <c r="I47" s="88">
        <f t="shared" si="0"/>
        <v>172</v>
      </c>
      <c r="J47" s="78">
        <v>57</v>
      </c>
      <c r="K47" s="96">
        <v>53</v>
      </c>
      <c r="L47" s="74">
        <f t="shared" si="1"/>
        <v>110</v>
      </c>
      <c r="M47" s="73">
        <v>108</v>
      </c>
      <c r="N47" s="78">
        <v>74</v>
      </c>
      <c r="O47" s="88">
        <f t="shared" si="2"/>
        <v>182</v>
      </c>
      <c r="P47" s="78">
        <v>78</v>
      </c>
      <c r="Q47" s="96">
        <v>47</v>
      </c>
      <c r="R47" s="74">
        <f t="shared" si="3"/>
        <v>125</v>
      </c>
      <c r="S47" s="78">
        <v>81</v>
      </c>
      <c r="T47" s="96">
        <v>58</v>
      </c>
      <c r="U47" s="74">
        <f t="shared" si="4"/>
        <v>139</v>
      </c>
      <c r="V47" s="78"/>
      <c r="W47" s="96" t="s">
        <v>558</v>
      </c>
      <c r="X47" s="74"/>
      <c r="Y47" s="78">
        <v>65</v>
      </c>
      <c r="Z47" s="96">
        <v>53</v>
      </c>
      <c r="AA47" s="74">
        <f>SUM(Y47:Z47)</f>
        <v>118</v>
      </c>
      <c r="AB47" s="68">
        <v>44</v>
      </c>
      <c r="AC47" s="68">
        <v>19</v>
      </c>
      <c r="AD47" s="74">
        <f t="shared" si="6"/>
        <v>63</v>
      </c>
      <c r="AE47" s="73">
        <v>20</v>
      </c>
      <c r="AF47" s="73">
        <v>21</v>
      </c>
      <c r="AG47" s="74">
        <f t="shared" si="7"/>
        <v>41</v>
      </c>
      <c r="AH47" s="78">
        <v>21</v>
      </c>
      <c r="AI47" s="73">
        <v>17</v>
      </c>
      <c r="AJ47" s="74">
        <f t="shared" si="8"/>
        <v>38</v>
      </c>
      <c r="AK47" s="89">
        <v>50</v>
      </c>
      <c r="AL47" s="74">
        <f t="shared" si="9"/>
        <v>807</v>
      </c>
      <c r="AM47" s="90" t="s">
        <v>556</v>
      </c>
      <c r="AN47" s="91"/>
    </row>
    <row r="48" spans="1:40" s="92" customFormat="1" ht="89.25" customHeight="1" x14ac:dyDescent="0.25">
      <c r="A48" s="68">
        <v>41</v>
      </c>
      <c r="B48" s="85">
        <v>180090101042</v>
      </c>
      <c r="C48" s="70">
        <v>180000100094</v>
      </c>
      <c r="D48" s="97" t="s">
        <v>217</v>
      </c>
      <c r="E48" s="98" t="s">
        <v>218</v>
      </c>
      <c r="F48" s="87"/>
      <c r="G48" s="73">
        <v>92</v>
      </c>
      <c r="H48" s="78">
        <v>72</v>
      </c>
      <c r="I48" s="88">
        <f t="shared" si="0"/>
        <v>164</v>
      </c>
      <c r="J48" s="78">
        <v>66</v>
      </c>
      <c r="K48" s="96">
        <v>49</v>
      </c>
      <c r="L48" s="74">
        <f t="shared" si="1"/>
        <v>115</v>
      </c>
      <c r="M48" s="73">
        <v>110</v>
      </c>
      <c r="N48" s="78">
        <v>67</v>
      </c>
      <c r="O48" s="88">
        <f t="shared" si="2"/>
        <v>177</v>
      </c>
      <c r="P48" s="78">
        <v>77</v>
      </c>
      <c r="Q48" s="96">
        <v>44</v>
      </c>
      <c r="R48" s="74">
        <f t="shared" si="3"/>
        <v>121</v>
      </c>
      <c r="S48" s="78">
        <v>85</v>
      </c>
      <c r="T48" s="96">
        <v>56</v>
      </c>
      <c r="U48" s="74">
        <f t="shared" si="4"/>
        <v>141</v>
      </c>
      <c r="V48" s="78"/>
      <c r="W48" s="96" t="s">
        <v>558</v>
      </c>
      <c r="X48" s="74"/>
      <c r="Y48" s="78">
        <v>63</v>
      </c>
      <c r="Z48" s="96">
        <v>54</v>
      </c>
      <c r="AA48" s="74">
        <f>SUM(Y48:Z48)</f>
        <v>117</v>
      </c>
      <c r="AB48" s="68">
        <v>43</v>
      </c>
      <c r="AC48" s="68">
        <v>19</v>
      </c>
      <c r="AD48" s="74">
        <f t="shared" si="6"/>
        <v>62</v>
      </c>
      <c r="AE48" s="73">
        <v>22</v>
      </c>
      <c r="AF48" s="73">
        <v>21</v>
      </c>
      <c r="AG48" s="74">
        <f t="shared" si="7"/>
        <v>43</v>
      </c>
      <c r="AH48" s="78">
        <v>23</v>
      </c>
      <c r="AI48" s="73">
        <v>23</v>
      </c>
      <c r="AJ48" s="74">
        <f t="shared" si="8"/>
        <v>46</v>
      </c>
      <c r="AK48" s="89">
        <v>46</v>
      </c>
      <c r="AL48" s="74">
        <f t="shared" si="9"/>
        <v>807</v>
      </c>
      <c r="AM48" s="90" t="s">
        <v>556</v>
      </c>
      <c r="AN48" s="91"/>
    </row>
    <row r="49" spans="1:40" s="92" customFormat="1" ht="89.25" customHeight="1" x14ac:dyDescent="0.25">
      <c r="A49" s="68">
        <v>42</v>
      </c>
      <c r="B49" s="85">
        <v>180090101043</v>
      </c>
      <c r="C49" s="70">
        <v>180000100095</v>
      </c>
      <c r="D49" s="94" t="s">
        <v>219</v>
      </c>
      <c r="E49" s="95" t="s">
        <v>220</v>
      </c>
      <c r="F49" s="87"/>
      <c r="G49" s="73">
        <v>98</v>
      </c>
      <c r="H49" s="78">
        <v>73</v>
      </c>
      <c r="I49" s="88">
        <f t="shared" si="0"/>
        <v>171</v>
      </c>
      <c r="J49" s="78">
        <v>65</v>
      </c>
      <c r="K49" s="96">
        <v>53</v>
      </c>
      <c r="L49" s="74">
        <f t="shared" si="1"/>
        <v>118</v>
      </c>
      <c r="M49" s="73">
        <v>114</v>
      </c>
      <c r="N49" s="78">
        <v>74</v>
      </c>
      <c r="O49" s="88">
        <f t="shared" si="2"/>
        <v>188</v>
      </c>
      <c r="P49" s="78">
        <v>74</v>
      </c>
      <c r="Q49" s="96">
        <v>32</v>
      </c>
      <c r="R49" s="74">
        <f t="shared" si="3"/>
        <v>106</v>
      </c>
      <c r="S49" s="78">
        <v>85</v>
      </c>
      <c r="T49" s="96">
        <v>56</v>
      </c>
      <c r="U49" s="74">
        <f t="shared" si="4"/>
        <v>141</v>
      </c>
      <c r="V49" s="78">
        <v>54</v>
      </c>
      <c r="W49" s="96">
        <v>48</v>
      </c>
      <c r="X49" s="74">
        <f t="shared" si="5"/>
        <v>102</v>
      </c>
      <c r="Y49" s="78"/>
      <c r="Z49" s="96"/>
      <c r="AA49" s="74"/>
      <c r="AB49" s="68">
        <v>43</v>
      </c>
      <c r="AC49" s="68">
        <v>19</v>
      </c>
      <c r="AD49" s="74">
        <f t="shared" si="6"/>
        <v>62</v>
      </c>
      <c r="AE49" s="73">
        <v>22</v>
      </c>
      <c r="AF49" s="73">
        <v>22</v>
      </c>
      <c r="AG49" s="74">
        <f t="shared" si="7"/>
        <v>44</v>
      </c>
      <c r="AH49" s="78">
        <v>23</v>
      </c>
      <c r="AI49" s="73">
        <v>21</v>
      </c>
      <c r="AJ49" s="74">
        <f t="shared" si="8"/>
        <v>44</v>
      </c>
      <c r="AK49" s="89">
        <v>45</v>
      </c>
      <c r="AL49" s="74">
        <f t="shared" si="9"/>
        <v>914</v>
      </c>
      <c r="AM49" s="90" t="s">
        <v>556</v>
      </c>
      <c r="AN49" s="91"/>
    </row>
    <row r="50" spans="1:40" s="92" customFormat="1" ht="89.25" customHeight="1" x14ac:dyDescent="0.25">
      <c r="A50" s="68">
        <v>43</v>
      </c>
      <c r="B50" s="85">
        <v>180090101044</v>
      </c>
      <c r="C50" s="70">
        <v>180000100096</v>
      </c>
      <c r="D50" s="97" t="s">
        <v>221</v>
      </c>
      <c r="E50" s="93" t="s">
        <v>222</v>
      </c>
      <c r="F50" s="87"/>
      <c r="G50" s="73">
        <v>76</v>
      </c>
      <c r="H50" s="78">
        <v>68</v>
      </c>
      <c r="I50" s="88">
        <f t="shared" si="0"/>
        <v>144</v>
      </c>
      <c r="J50" s="78">
        <v>57</v>
      </c>
      <c r="K50" s="96">
        <v>36</v>
      </c>
      <c r="L50" s="74">
        <f t="shared" si="1"/>
        <v>93</v>
      </c>
      <c r="M50" s="73">
        <v>104</v>
      </c>
      <c r="N50" s="78">
        <v>74</v>
      </c>
      <c r="O50" s="88">
        <f t="shared" si="2"/>
        <v>178</v>
      </c>
      <c r="P50" s="78">
        <v>74</v>
      </c>
      <c r="Q50" s="96">
        <v>41</v>
      </c>
      <c r="R50" s="74">
        <f t="shared" si="3"/>
        <v>115</v>
      </c>
      <c r="S50" s="78">
        <v>69</v>
      </c>
      <c r="T50" s="96">
        <v>57</v>
      </c>
      <c r="U50" s="74">
        <f t="shared" si="4"/>
        <v>126</v>
      </c>
      <c r="V50" s="78">
        <v>50</v>
      </c>
      <c r="W50" s="96">
        <v>37</v>
      </c>
      <c r="X50" s="74">
        <f t="shared" si="5"/>
        <v>87</v>
      </c>
      <c r="Y50" s="78"/>
      <c r="Z50" s="96"/>
      <c r="AA50" s="74"/>
      <c r="AB50" s="68">
        <v>39</v>
      </c>
      <c r="AC50" s="68">
        <v>19</v>
      </c>
      <c r="AD50" s="74">
        <f t="shared" si="6"/>
        <v>58</v>
      </c>
      <c r="AE50" s="73">
        <v>20</v>
      </c>
      <c r="AF50" s="73">
        <v>21</v>
      </c>
      <c r="AG50" s="74">
        <f t="shared" si="7"/>
        <v>41</v>
      </c>
      <c r="AH50" s="78">
        <v>19</v>
      </c>
      <c r="AI50" s="73">
        <v>16</v>
      </c>
      <c r="AJ50" s="74">
        <f t="shared" si="8"/>
        <v>35</v>
      </c>
      <c r="AK50" s="89">
        <v>46</v>
      </c>
      <c r="AL50" s="74">
        <f t="shared" si="9"/>
        <v>819</v>
      </c>
      <c r="AM50" s="90" t="s">
        <v>556</v>
      </c>
      <c r="AN50" s="91"/>
    </row>
    <row r="51" spans="1:40" s="92" customFormat="1" ht="89.25" customHeight="1" x14ac:dyDescent="0.25">
      <c r="A51" s="68">
        <v>44</v>
      </c>
      <c r="B51" s="85">
        <v>180090101045</v>
      </c>
      <c r="C51" s="70">
        <v>180000100097</v>
      </c>
      <c r="D51" s="94" t="s">
        <v>223</v>
      </c>
      <c r="E51" s="95" t="s">
        <v>224</v>
      </c>
      <c r="F51" s="87"/>
      <c r="G51" s="73">
        <v>84</v>
      </c>
      <c r="H51" s="78">
        <v>69</v>
      </c>
      <c r="I51" s="88">
        <f t="shared" si="0"/>
        <v>153</v>
      </c>
      <c r="J51" s="78">
        <v>51</v>
      </c>
      <c r="K51" s="96">
        <v>32</v>
      </c>
      <c r="L51" s="74">
        <f t="shared" si="1"/>
        <v>83</v>
      </c>
      <c r="M51" s="73">
        <v>92</v>
      </c>
      <c r="N51" s="78">
        <v>57</v>
      </c>
      <c r="O51" s="88">
        <f t="shared" si="2"/>
        <v>149</v>
      </c>
      <c r="P51" s="78">
        <v>77</v>
      </c>
      <c r="Q51" s="96">
        <v>39</v>
      </c>
      <c r="R51" s="74">
        <f t="shared" si="3"/>
        <v>116</v>
      </c>
      <c r="S51" s="78">
        <v>79</v>
      </c>
      <c r="T51" s="96">
        <v>58</v>
      </c>
      <c r="U51" s="74">
        <f t="shared" si="4"/>
        <v>137</v>
      </c>
      <c r="V51" s="78"/>
      <c r="W51" s="96" t="s">
        <v>558</v>
      </c>
      <c r="X51" s="74"/>
      <c r="Y51" s="78">
        <v>26</v>
      </c>
      <c r="Z51" s="96">
        <v>50</v>
      </c>
      <c r="AA51" s="74">
        <f>SUM(Y51:Z51)</f>
        <v>76</v>
      </c>
      <c r="AB51" s="68">
        <v>43</v>
      </c>
      <c r="AC51" s="68">
        <v>16</v>
      </c>
      <c r="AD51" s="74">
        <f t="shared" si="6"/>
        <v>59</v>
      </c>
      <c r="AE51" s="73">
        <v>21</v>
      </c>
      <c r="AF51" s="73">
        <v>22</v>
      </c>
      <c r="AG51" s="74">
        <f t="shared" si="7"/>
        <v>43</v>
      </c>
      <c r="AH51" s="78">
        <v>19</v>
      </c>
      <c r="AI51" s="73">
        <v>16</v>
      </c>
      <c r="AJ51" s="74">
        <f t="shared" si="8"/>
        <v>35</v>
      </c>
      <c r="AK51" s="89">
        <v>44</v>
      </c>
      <c r="AL51" s="74">
        <f t="shared" si="9"/>
        <v>716</v>
      </c>
      <c r="AM51" s="90" t="s">
        <v>556</v>
      </c>
      <c r="AN51" s="91" t="s">
        <v>585</v>
      </c>
    </row>
    <row r="52" spans="1:40" s="92" customFormat="1" ht="89.25" customHeight="1" x14ac:dyDescent="0.25">
      <c r="A52" s="68">
        <v>45</v>
      </c>
      <c r="B52" s="85">
        <v>180090101046</v>
      </c>
      <c r="C52" s="70">
        <v>180000100098</v>
      </c>
      <c r="D52" s="97" t="s">
        <v>225</v>
      </c>
      <c r="E52" s="93" t="s">
        <v>226</v>
      </c>
      <c r="F52" s="87"/>
      <c r="G52" s="73">
        <v>100</v>
      </c>
      <c r="H52" s="78">
        <v>73</v>
      </c>
      <c r="I52" s="88">
        <f t="shared" si="0"/>
        <v>173</v>
      </c>
      <c r="J52" s="78">
        <v>62</v>
      </c>
      <c r="K52" s="96">
        <v>48</v>
      </c>
      <c r="L52" s="74">
        <f t="shared" si="1"/>
        <v>110</v>
      </c>
      <c r="M52" s="73">
        <v>112</v>
      </c>
      <c r="N52" s="78">
        <v>74</v>
      </c>
      <c r="O52" s="88">
        <f t="shared" si="2"/>
        <v>186</v>
      </c>
      <c r="P52" s="78">
        <v>81</v>
      </c>
      <c r="Q52" s="96">
        <v>40</v>
      </c>
      <c r="R52" s="74">
        <f t="shared" si="3"/>
        <v>121</v>
      </c>
      <c r="S52" s="78">
        <v>85</v>
      </c>
      <c r="T52" s="96">
        <v>58</v>
      </c>
      <c r="U52" s="74">
        <f t="shared" si="4"/>
        <v>143</v>
      </c>
      <c r="V52" s="78">
        <v>50</v>
      </c>
      <c r="W52" s="96">
        <v>37</v>
      </c>
      <c r="X52" s="74">
        <f t="shared" si="5"/>
        <v>87</v>
      </c>
      <c r="Y52" s="78"/>
      <c r="Z52" s="96"/>
      <c r="AA52" s="74"/>
      <c r="AB52" s="68">
        <v>44</v>
      </c>
      <c r="AC52" s="68">
        <v>19</v>
      </c>
      <c r="AD52" s="74">
        <f t="shared" si="6"/>
        <v>63</v>
      </c>
      <c r="AE52" s="73">
        <v>20</v>
      </c>
      <c r="AF52" s="73">
        <v>23</v>
      </c>
      <c r="AG52" s="74">
        <f t="shared" si="7"/>
        <v>43</v>
      </c>
      <c r="AH52" s="78">
        <v>21</v>
      </c>
      <c r="AI52" s="73">
        <v>23</v>
      </c>
      <c r="AJ52" s="74">
        <f t="shared" si="8"/>
        <v>44</v>
      </c>
      <c r="AK52" s="89">
        <v>48</v>
      </c>
      <c r="AL52" s="74">
        <f t="shared" si="9"/>
        <v>907</v>
      </c>
      <c r="AM52" s="90" t="s">
        <v>556</v>
      </c>
      <c r="AN52" s="91"/>
    </row>
    <row r="53" spans="1:40" s="92" customFormat="1" ht="89.25" customHeight="1" x14ac:dyDescent="0.25">
      <c r="A53" s="68">
        <v>46</v>
      </c>
      <c r="B53" s="85">
        <v>180090101047</v>
      </c>
      <c r="C53" s="70">
        <v>180000100099</v>
      </c>
      <c r="D53" s="94" t="s">
        <v>227</v>
      </c>
      <c r="E53" s="86" t="s">
        <v>228</v>
      </c>
      <c r="F53" s="87"/>
      <c r="G53" s="73">
        <v>92</v>
      </c>
      <c r="H53" s="78">
        <v>68</v>
      </c>
      <c r="I53" s="88">
        <f t="shared" si="0"/>
        <v>160</v>
      </c>
      <c r="J53" s="78">
        <v>62</v>
      </c>
      <c r="K53" s="96">
        <v>50</v>
      </c>
      <c r="L53" s="74">
        <f t="shared" si="1"/>
        <v>112</v>
      </c>
      <c r="M53" s="73">
        <v>110</v>
      </c>
      <c r="N53" s="78">
        <v>74</v>
      </c>
      <c r="O53" s="88">
        <f t="shared" si="2"/>
        <v>184</v>
      </c>
      <c r="P53" s="78">
        <v>72</v>
      </c>
      <c r="Q53" s="96">
        <v>47</v>
      </c>
      <c r="R53" s="74">
        <f t="shared" si="3"/>
        <v>119</v>
      </c>
      <c r="S53" s="78">
        <v>84</v>
      </c>
      <c r="T53" s="96">
        <v>58</v>
      </c>
      <c r="U53" s="74">
        <f t="shared" si="4"/>
        <v>142</v>
      </c>
      <c r="V53" s="78">
        <v>50</v>
      </c>
      <c r="W53" s="96">
        <v>51</v>
      </c>
      <c r="X53" s="74">
        <f t="shared" si="5"/>
        <v>101</v>
      </c>
      <c r="Y53" s="78"/>
      <c r="Z53" s="96"/>
      <c r="AA53" s="74"/>
      <c r="AB53" s="68">
        <v>40</v>
      </c>
      <c r="AC53" s="68">
        <v>19</v>
      </c>
      <c r="AD53" s="74">
        <f t="shared" si="6"/>
        <v>59</v>
      </c>
      <c r="AE53" s="73">
        <v>20</v>
      </c>
      <c r="AF53" s="73">
        <v>21</v>
      </c>
      <c r="AG53" s="74">
        <f t="shared" si="7"/>
        <v>41</v>
      </c>
      <c r="AH53" s="78">
        <v>21</v>
      </c>
      <c r="AI53" s="73">
        <v>22</v>
      </c>
      <c r="AJ53" s="74">
        <f t="shared" si="8"/>
        <v>43</v>
      </c>
      <c r="AK53" s="89">
        <v>48</v>
      </c>
      <c r="AL53" s="74">
        <f t="shared" si="9"/>
        <v>902</v>
      </c>
      <c r="AM53" s="90" t="s">
        <v>556</v>
      </c>
      <c r="AN53" s="91"/>
    </row>
    <row r="54" spans="1:40" s="92" customFormat="1" ht="89.25" customHeight="1" x14ac:dyDescent="0.25">
      <c r="A54" s="68">
        <v>47</v>
      </c>
      <c r="B54" s="85">
        <v>180090101048</v>
      </c>
      <c r="C54" s="70">
        <v>180000100100</v>
      </c>
      <c r="D54" s="97" t="s">
        <v>229</v>
      </c>
      <c r="E54" s="93" t="s">
        <v>230</v>
      </c>
      <c r="F54" s="87"/>
      <c r="G54" s="73">
        <v>94</v>
      </c>
      <c r="H54" s="78">
        <v>70</v>
      </c>
      <c r="I54" s="88">
        <f t="shared" si="0"/>
        <v>164</v>
      </c>
      <c r="J54" s="78">
        <v>63</v>
      </c>
      <c r="K54" s="96">
        <v>51</v>
      </c>
      <c r="L54" s="74">
        <f t="shared" si="1"/>
        <v>114</v>
      </c>
      <c r="M54" s="73">
        <v>102</v>
      </c>
      <c r="N54" s="78">
        <v>74</v>
      </c>
      <c r="O54" s="88">
        <f t="shared" si="2"/>
        <v>176</v>
      </c>
      <c r="P54" s="78">
        <v>69</v>
      </c>
      <c r="Q54" s="96">
        <v>47</v>
      </c>
      <c r="R54" s="74">
        <f t="shared" si="3"/>
        <v>116</v>
      </c>
      <c r="S54" s="78">
        <v>84</v>
      </c>
      <c r="T54" s="96">
        <v>58</v>
      </c>
      <c r="U54" s="74">
        <f t="shared" si="4"/>
        <v>142</v>
      </c>
      <c r="V54" s="78">
        <v>45</v>
      </c>
      <c r="W54" s="96">
        <v>48</v>
      </c>
      <c r="X54" s="74">
        <f t="shared" si="5"/>
        <v>93</v>
      </c>
      <c r="Y54" s="78"/>
      <c r="Z54" s="96"/>
      <c r="AA54" s="74"/>
      <c r="AB54" s="68">
        <v>42</v>
      </c>
      <c r="AC54" s="68">
        <v>20</v>
      </c>
      <c r="AD54" s="74">
        <f t="shared" si="6"/>
        <v>62</v>
      </c>
      <c r="AE54" s="73">
        <v>20</v>
      </c>
      <c r="AF54" s="73">
        <v>20</v>
      </c>
      <c r="AG54" s="74">
        <f t="shared" si="7"/>
        <v>40</v>
      </c>
      <c r="AH54" s="78">
        <v>21</v>
      </c>
      <c r="AI54" s="73">
        <v>24</v>
      </c>
      <c r="AJ54" s="74">
        <f t="shared" si="8"/>
        <v>45</v>
      </c>
      <c r="AK54" s="89">
        <v>48</v>
      </c>
      <c r="AL54" s="74">
        <f t="shared" si="9"/>
        <v>890</v>
      </c>
      <c r="AM54" s="90" t="s">
        <v>556</v>
      </c>
      <c r="AN54" s="91"/>
    </row>
    <row r="55" spans="1:40" s="92" customFormat="1" ht="89.25" customHeight="1" x14ac:dyDescent="0.25">
      <c r="A55" s="68">
        <v>48</v>
      </c>
      <c r="B55" s="85">
        <v>180090101049</v>
      </c>
      <c r="C55" s="70">
        <v>180000100101</v>
      </c>
      <c r="D55" s="94" t="s">
        <v>231</v>
      </c>
      <c r="E55" s="86" t="s">
        <v>232</v>
      </c>
      <c r="F55" s="87"/>
      <c r="G55" s="73">
        <v>88</v>
      </c>
      <c r="H55" s="78">
        <v>72</v>
      </c>
      <c r="I55" s="88">
        <f t="shared" si="0"/>
        <v>160</v>
      </c>
      <c r="J55" s="78">
        <v>57</v>
      </c>
      <c r="K55" s="96">
        <v>54</v>
      </c>
      <c r="L55" s="74">
        <f t="shared" si="1"/>
        <v>111</v>
      </c>
      <c r="M55" s="73">
        <v>112</v>
      </c>
      <c r="N55" s="78">
        <v>74</v>
      </c>
      <c r="O55" s="88">
        <f t="shared" si="2"/>
        <v>186</v>
      </c>
      <c r="P55" s="78">
        <v>78</v>
      </c>
      <c r="Q55" s="96">
        <v>50</v>
      </c>
      <c r="R55" s="74">
        <f t="shared" si="3"/>
        <v>128</v>
      </c>
      <c r="S55" s="78">
        <v>84</v>
      </c>
      <c r="T55" s="96">
        <v>57</v>
      </c>
      <c r="U55" s="74">
        <f t="shared" si="4"/>
        <v>141</v>
      </c>
      <c r="V55" s="78"/>
      <c r="W55" s="96" t="s">
        <v>558</v>
      </c>
      <c r="X55" s="74"/>
      <c r="Y55" s="78">
        <v>60</v>
      </c>
      <c r="Z55" s="96">
        <v>55</v>
      </c>
      <c r="AA55" s="74">
        <f>SUM(Y55:Z55)</f>
        <v>115</v>
      </c>
      <c r="AB55" s="68">
        <v>44</v>
      </c>
      <c r="AC55" s="68">
        <v>19</v>
      </c>
      <c r="AD55" s="74">
        <f t="shared" si="6"/>
        <v>63</v>
      </c>
      <c r="AE55" s="73">
        <v>21</v>
      </c>
      <c r="AF55" s="68">
        <v>21</v>
      </c>
      <c r="AG55" s="74">
        <f t="shared" si="7"/>
        <v>42</v>
      </c>
      <c r="AH55" s="78">
        <v>22</v>
      </c>
      <c r="AI55" s="73">
        <v>21</v>
      </c>
      <c r="AJ55" s="74">
        <f t="shared" si="8"/>
        <v>43</v>
      </c>
      <c r="AK55" s="89">
        <v>48</v>
      </c>
      <c r="AL55" s="74">
        <f t="shared" si="9"/>
        <v>811</v>
      </c>
      <c r="AM55" s="90" t="s">
        <v>556</v>
      </c>
      <c r="AN55" s="91"/>
    </row>
    <row r="56" spans="1:40" s="92" customFormat="1" ht="89.25" customHeight="1" x14ac:dyDescent="0.25">
      <c r="A56" s="68">
        <v>49</v>
      </c>
      <c r="B56" s="85">
        <v>180090101051</v>
      </c>
      <c r="C56" s="70">
        <v>180000100103</v>
      </c>
      <c r="D56" s="94" t="s">
        <v>233</v>
      </c>
      <c r="E56" s="86" t="s">
        <v>234</v>
      </c>
      <c r="F56" s="87"/>
      <c r="G56" s="73">
        <v>98</v>
      </c>
      <c r="H56" s="78">
        <v>73</v>
      </c>
      <c r="I56" s="88">
        <f t="shared" si="0"/>
        <v>171</v>
      </c>
      <c r="J56" s="78">
        <v>63</v>
      </c>
      <c r="K56" s="96">
        <v>55</v>
      </c>
      <c r="L56" s="74">
        <f t="shared" si="1"/>
        <v>118</v>
      </c>
      <c r="M56" s="73">
        <v>94</v>
      </c>
      <c r="N56" s="78">
        <v>50</v>
      </c>
      <c r="O56" s="88">
        <f t="shared" si="2"/>
        <v>144</v>
      </c>
      <c r="P56" s="78">
        <v>80</v>
      </c>
      <c r="Q56" s="96">
        <v>53</v>
      </c>
      <c r="R56" s="74">
        <f t="shared" si="3"/>
        <v>133</v>
      </c>
      <c r="S56" s="78">
        <v>84</v>
      </c>
      <c r="T56" s="96">
        <v>56</v>
      </c>
      <c r="U56" s="74">
        <f t="shared" si="4"/>
        <v>140</v>
      </c>
      <c r="V56" s="78">
        <v>54</v>
      </c>
      <c r="W56" s="96">
        <v>50</v>
      </c>
      <c r="X56" s="74">
        <f t="shared" si="5"/>
        <v>104</v>
      </c>
      <c r="Y56" s="78"/>
      <c r="Z56" s="96"/>
      <c r="AA56" s="74"/>
      <c r="AB56" s="68">
        <v>40</v>
      </c>
      <c r="AC56" s="68">
        <v>19</v>
      </c>
      <c r="AD56" s="74">
        <f t="shared" si="6"/>
        <v>59</v>
      </c>
      <c r="AE56" s="73">
        <v>20</v>
      </c>
      <c r="AF56" s="79">
        <v>21</v>
      </c>
      <c r="AG56" s="74">
        <f t="shared" si="7"/>
        <v>41</v>
      </c>
      <c r="AH56" s="78">
        <v>22</v>
      </c>
      <c r="AI56" s="73">
        <v>22</v>
      </c>
      <c r="AJ56" s="74">
        <f t="shared" si="8"/>
        <v>44</v>
      </c>
      <c r="AK56" s="89">
        <v>48</v>
      </c>
      <c r="AL56" s="74">
        <f t="shared" si="9"/>
        <v>895</v>
      </c>
      <c r="AM56" s="90" t="s">
        <v>556</v>
      </c>
      <c r="AN56" s="91"/>
    </row>
    <row r="57" spans="1:40" s="92" customFormat="1" ht="89.25" customHeight="1" x14ac:dyDescent="0.25">
      <c r="A57" s="68">
        <v>50</v>
      </c>
      <c r="B57" s="85">
        <v>180090101052</v>
      </c>
      <c r="C57" s="70">
        <v>180000100104</v>
      </c>
      <c r="D57" s="94" t="s">
        <v>34</v>
      </c>
      <c r="E57" s="86" t="s">
        <v>235</v>
      </c>
      <c r="F57" s="87"/>
      <c r="G57" s="73">
        <v>92</v>
      </c>
      <c r="H57" s="68">
        <v>70</v>
      </c>
      <c r="I57" s="88">
        <f t="shared" si="0"/>
        <v>162</v>
      </c>
      <c r="J57" s="78">
        <v>63</v>
      </c>
      <c r="K57" s="96">
        <v>50</v>
      </c>
      <c r="L57" s="74">
        <f t="shared" si="1"/>
        <v>113</v>
      </c>
      <c r="M57" s="73">
        <v>112</v>
      </c>
      <c r="N57" s="68">
        <v>50</v>
      </c>
      <c r="O57" s="88">
        <f t="shared" si="2"/>
        <v>162</v>
      </c>
      <c r="P57" s="78">
        <v>75</v>
      </c>
      <c r="Q57" s="96">
        <v>49</v>
      </c>
      <c r="R57" s="74">
        <f t="shared" si="3"/>
        <v>124</v>
      </c>
      <c r="S57" s="78">
        <v>83</v>
      </c>
      <c r="T57" s="96">
        <v>56</v>
      </c>
      <c r="U57" s="74">
        <f t="shared" si="4"/>
        <v>139</v>
      </c>
      <c r="V57" s="78">
        <v>56</v>
      </c>
      <c r="W57" s="96">
        <v>50</v>
      </c>
      <c r="X57" s="74">
        <f t="shared" si="5"/>
        <v>106</v>
      </c>
      <c r="Y57" s="78"/>
      <c r="Z57" s="96"/>
      <c r="AA57" s="74"/>
      <c r="AB57" s="68">
        <v>39</v>
      </c>
      <c r="AC57" s="68">
        <v>19</v>
      </c>
      <c r="AD57" s="74">
        <f t="shared" si="6"/>
        <v>58</v>
      </c>
      <c r="AE57" s="73">
        <v>22</v>
      </c>
      <c r="AF57" s="68">
        <v>21</v>
      </c>
      <c r="AG57" s="74">
        <f t="shared" si="7"/>
        <v>43</v>
      </c>
      <c r="AH57" s="78">
        <v>21</v>
      </c>
      <c r="AI57" s="73">
        <v>21</v>
      </c>
      <c r="AJ57" s="74">
        <f t="shared" si="8"/>
        <v>42</v>
      </c>
      <c r="AK57" s="89">
        <v>50</v>
      </c>
      <c r="AL57" s="74">
        <f t="shared" si="9"/>
        <v>891</v>
      </c>
      <c r="AM57" s="90" t="s">
        <v>556</v>
      </c>
      <c r="AN57" s="91"/>
    </row>
    <row r="58" spans="1:40" s="92" customFormat="1" ht="89.25" customHeight="1" x14ac:dyDescent="0.25">
      <c r="A58" s="68">
        <v>51</v>
      </c>
      <c r="B58" s="85">
        <v>180090101053</v>
      </c>
      <c r="C58" s="70">
        <v>180000100105</v>
      </c>
      <c r="D58" s="99" t="s">
        <v>236</v>
      </c>
      <c r="E58" s="99" t="s">
        <v>24</v>
      </c>
      <c r="F58" s="100"/>
      <c r="G58" s="68">
        <v>92</v>
      </c>
      <c r="H58" s="68">
        <v>74</v>
      </c>
      <c r="I58" s="88">
        <f t="shared" si="0"/>
        <v>166</v>
      </c>
      <c r="J58" s="78">
        <v>62</v>
      </c>
      <c r="K58" s="101">
        <v>50</v>
      </c>
      <c r="L58" s="74">
        <f t="shared" si="1"/>
        <v>112</v>
      </c>
      <c r="M58" s="68">
        <v>112</v>
      </c>
      <c r="N58" s="68">
        <v>73</v>
      </c>
      <c r="O58" s="88">
        <f t="shared" si="2"/>
        <v>185</v>
      </c>
      <c r="P58" s="78">
        <v>77</v>
      </c>
      <c r="Q58" s="101">
        <v>40</v>
      </c>
      <c r="R58" s="74">
        <f t="shared" si="3"/>
        <v>117</v>
      </c>
      <c r="S58" s="78">
        <v>84</v>
      </c>
      <c r="T58" s="101">
        <v>46</v>
      </c>
      <c r="U58" s="74">
        <f t="shared" si="4"/>
        <v>130</v>
      </c>
      <c r="V58" s="78">
        <v>50</v>
      </c>
      <c r="W58" s="101">
        <v>40</v>
      </c>
      <c r="X58" s="74">
        <f t="shared" si="5"/>
        <v>90</v>
      </c>
      <c r="Y58" s="78"/>
      <c r="Z58" s="101"/>
      <c r="AA58" s="74"/>
      <c r="AB58" s="68">
        <v>44</v>
      </c>
      <c r="AC58" s="68">
        <v>19</v>
      </c>
      <c r="AD58" s="74">
        <f t="shared" si="6"/>
        <v>63</v>
      </c>
      <c r="AE58" s="73">
        <v>22</v>
      </c>
      <c r="AF58" s="68">
        <v>22</v>
      </c>
      <c r="AG58" s="74">
        <f t="shared" si="7"/>
        <v>44</v>
      </c>
      <c r="AH58" s="78">
        <v>22</v>
      </c>
      <c r="AI58" s="68">
        <v>22</v>
      </c>
      <c r="AJ58" s="74">
        <f t="shared" si="8"/>
        <v>44</v>
      </c>
      <c r="AK58" s="89">
        <v>50</v>
      </c>
      <c r="AL58" s="74">
        <f t="shared" si="9"/>
        <v>888</v>
      </c>
      <c r="AM58" s="90" t="s">
        <v>556</v>
      </c>
      <c r="AN58" s="102"/>
    </row>
    <row r="59" spans="1:40" s="92" customFormat="1" ht="89.25" customHeight="1" x14ac:dyDescent="0.25">
      <c r="A59" s="68">
        <v>52</v>
      </c>
      <c r="B59" s="85">
        <v>180090101054</v>
      </c>
      <c r="C59" s="70">
        <v>180000100106</v>
      </c>
      <c r="D59" s="99" t="s">
        <v>237</v>
      </c>
      <c r="E59" s="99" t="s">
        <v>238</v>
      </c>
      <c r="F59" s="103"/>
      <c r="G59" s="68">
        <v>104</v>
      </c>
      <c r="H59" s="68">
        <v>71</v>
      </c>
      <c r="I59" s="88">
        <f t="shared" si="0"/>
        <v>175</v>
      </c>
      <c r="J59" s="73">
        <v>65</v>
      </c>
      <c r="K59" s="101">
        <v>52</v>
      </c>
      <c r="L59" s="74">
        <f t="shared" si="1"/>
        <v>117</v>
      </c>
      <c r="M59" s="68">
        <v>114</v>
      </c>
      <c r="N59" s="68">
        <v>74</v>
      </c>
      <c r="O59" s="88">
        <f t="shared" si="2"/>
        <v>188</v>
      </c>
      <c r="P59" s="73">
        <v>78</v>
      </c>
      <c r="Q59" s="101">
        <v>48</v>
      </c>
      <c r="R59" s="74">
        <f t="shared" si="3"/>
        <v>126</v>
      </c>
      <c r="S59" s="73">
        <v>84</v>
      </c>
      <c r="T59" s="101">
        <v>58</v>
      </c>
      <c r="U59" s="74">
        <f t="shared" si="4"/>
        <v>142</v>
      </c>
      <c r="V59" s="73">
        <v>53</v>
      </c>
      <c r="W59" s="101">
        <v>47</v>
      </c>
      <c r="X59" s="74">
        <f t="shared" si="5"/>
        <v>100</v>
      </c>
      <c r="Y59" s="73"/>
      <c r="Z59" s="101"/>
      <c r="AA59" s="74"/>
      <c r="AB59" s="68">
        <v>44</v>
      </c>
      <c r="AC59" s="68">
        <v>19</v>
      </c>
      <c r="AD59" s="74">
        <f t="shared" si="6"/>
        <v>63</v>
      </c>
      <c r="AE59" s="68">
        <v>23</v>
      </c>
      <c r="AF59" s="68">
        <v>22</v>
      </c>
      <c r="AG59" s="74">
        <f t="shared" si="7"/>
        <v>45</v>
      </c>
      <c r="AH59" s="68">
        <v>23</v>
      </c>
      <c r="AI59" s="68">
        <v>23</v>
      </c>
      <c r="AJ59" s="74">
        <f t="shared" si="8"/>
        <v>46</v>
      </c>
      <c r="AK59" s="89">
        <v>46</v>
      </c>
      <c r="AL59" s="74">
        <f t="shared" si="9"/>
        <v>939</v>
      </c>
      <c r="AM59" s="90" t="s">
        <v>556</v>
      </c>
      <c r="AN59" s="91"/>
    </row>
    <row r="60" spans="1:40" s="92" customFormat="1" ht="89.25" customHeight="1" x14ac:dyDescent="0.25">
      <c r="A60" s="68">
        <v>53</v>
      </c>
      <c r="B60" s="85">
        <v>180090101055</v>
      </c>
      <c r="C60" s="70">
        <v>180000100107</v>
      </c>
      <c r="D60" s="99" t="s">
        <v>239</v>
      </c>
      <c r="E60" s="99" t="s">
        <v>240</v>
      </c>
      <c r="F60" s="100"/>
      <c r="G60" s="68">
        <v>94</v>
      </c>
      <c r="H60" s="68">
        <v>72</v>
      </c>
      <c r="I60" s="88">
        <f t="shared" si="0"/>
        <v>166</v>
      </c>
      <c r="J60" s="73">
        <v>63</v>
      </c>
      <c r="K60" s="101">
        <v>55</v>
      </c>
      <c r="L60" s="74">
        <f t="shared" si="1"/>
        <v>118</v>
      </c>
      <c r="M60" s="68">
        <v>114</v>
      </c>
      <c r="N60" s="68">
        <v>73</v>
      </c>
      <c r="O60" s="88">
        <f t="shared" si="2"/>
        <v>187</v>
      </c>
      <c r="P60" s="73">
        <v>78</v>
      </c>
      <c r="Q60" s="101">
        <v>47</v>
      </c>
      <c r="R60" s="74">
        <f t="shared" si="3"/>
        <v>125</v>
      </c>
      <c r="S60" s="73">
        <v>85</v>
      </c>
      <c r="T60" s="101">
        <v>56</v>
      </c>
      <c r="U60" s="74">
        <f t="shared" si="4"/>
        <v>141</v>
      </c>
      <c r="V60" s="73"/>
      <c r="W60" s="101" t="s">
        <v>558</v>
      </c>
      <c r="X60" s="74"/>
      <c r="Y60" s="73">
        <v>65</v>
      </c>
      <c r="Z60" s="101">
        <v>55</v>
      </c>
      <c r="AA60" s="74">
        <f>SUM(Y60:Z60)</f>
        <v>120</v>
      </c>
      <c r="AB60" s="68">
        <v>42</v>
      </c>
      <c r="AC60" s="68">
        <v>19</v>
      </c>
      <c r="AD60" s="74">
        <f t="shared" si="6"/>
        <v>61</v>
      </c>
      <c r="AE60" s="68">
        <v>20</v>
      </c>
      <c r="AF60" s="68">
        <v>21</v>
      </c>
      <c r="AG60" s="74">
        <f t="shared" si="7"/>
        <v>41</v>
      </c>
      <c r="AH60" s="68">
        <v>21</v>
      </c>
      <c r="AI60" s="68">
        <v>23</v>
      </c>
      <c r="AJ60" s="74">
        <f t="shared" si="8"/>
        <v>44</v>
      </c>
      <c r="AK60" s="89">
        <v>47</v>
      </c>
      <c r="AL60" s="74">
        <f t="shared" si="9"/>
        <v>822</v>
      </c>
      <c r="AM60" s="90" t="s">
        <v>556</v>
      </c>
      <c r="AN60" s="91"/>
    </row>
    <row r="61" spans="1:40" s="92" customFormat="1" ht="89.25" customHeight="1" x14ac:dyDescent="0.25">
      <c r="A61" s="68">
        <v>54</v>
      </c>
      <c r="B61" s="85">
        <v>180090101056</v>
      </c>
      <c r="C61" s="70">
        <v>180000100108</v>
      </c>
      <c r="D61" s="99" t="s">
        <v>35</v>
      </c>
      <c r="E61" s="99" t="s">
        <v>241</v>
      </c>
      <c r="F61" s="100"/>
      <c r="G61" s="68">
        <v>98</v>
      </c>
      <c r="H61" s="68">
        <v>74</v>
      </c>
      <c r="I61" s="88">
        <f t="shared" si="0"/>
        <v>172</v>
      </c>
      <c r="J61" s="73">
        <v>65</v>
      </c>
      <c r="K61" s="101">
        <v>54</v>
      </c>
      <c r="L61" s="74">
        <f t="shared" si="1"/>
        <v>119</v>
      </c>
      <c r="M61" s="68">
        <v>108</v>
      </c>
      <c r="N61" s="68">
        <v>74</v>
      </c>
      <c r="O61" s="88">
        <f t="shared" si="2"/>
        <v>182</v>
      </c>
      <c r="P61" s="73">
        <v>77</v>
      </c>
      <c r="Q61" s="101">
        <v>52</v>
      </c>
      <c r="R61" s="74">
        <f t="shared" si="3"/>
        <v>129</v>
      </c>
      <c r="S61" s="73">
        <v>85</v>
      </c>
      <c r="T61" s="101">
        <v>58</v>
      </c>
      <c r="U61" s="74">
        <f t="shared" si="4"/>
        <v>143</v>
      </c>
      <c r="V61" s="73">
        <v>50</v>
      </c>
      <c r="W61" s="101">
        <v>51</v>
      </c>
      <c r="X61" s="74">
        <f t="shared" si="5"/>
        <v>101</v>
      </c>
      <c r="Y61" s="73"/>
      <c r="Z61" s="101"/>
      <c r="AA61" s="74"/>
      <c r="AB61" s="68">
        <v>44</v>
      </c>
      <c r="AC61" s="68">
        <v>19</v>
      </c>
      <c r="AD61" s="74">
        <f t="shared" si="6"/>
        <v>63</v>
      </c>
      <c r="AE61" s="68">
        <v>22</v>
      </c>
      <c r="AF61" s="68">
        <v>22</v>
      </c>
      <c r="AG61" s="74">
        <f t="shared" si="7"/>
        <v>44</v>
      </c>
      <c r="AH61" s="68">
        <v>22</v>
      </c>
      <c r="AI61" s="68">
        <v>20</v>
      </c>
      <c r="AJ61" s="74">
        <f t="shared" si="8"/>
        <v>42</v>
      </c>
      <c r="AK61" s="89">
        <v>47</v>
      </c>
      <c r="AL61" s="74">
        <f t="shared" si="9"/>
        <v>932</v>
      </c>
      <c r="AM61" s="90" t="s">
        <v>556</v>
      </c>
      <c r="AN61" s="91"/>
    </row>
    <row r="62" spans="1:40" s="92" customFormat="1" ht="89.25" customHeight="1" x14ac:dyDescent="0.25">
      <c r="A62" s="68">
        <v>55</v>
      </c>
      <c r="B62" s="85">
        <v>180090101057</v>
      </c>
      <c r="C62" s="70">
        <v>180000100109</v>
      </c>
      <c r="D62" s="99" t="s">
        <v>242</v>
      </c>
      <c r="E62" s="99" t="s">
        <v>26</v>
      </c>
      <c r="F62" s="100"/>
      <c r="G62" s="68">
        <v>102</v>
      </c>
      <c r="H62" s="68">
        <v>74</v>
      </c>
      <c r="I62" s="88">
        <f t="shared" si="0"/>
        <v>176</v>
      </c>
      <c r="J62" s="73">
        <v>68</v>
      </c>
      <c r="K62" s="101">
        <v>56</v>
      </c>
      <c r="L62" s="74">
        <f t="shared" si="1"/>
        <v>124</v>
      </c>
      <c r="M62" s="68">
        <v>114</v>
      </c>
      <c r="N62" s="68">
        <v>74</v>
      </c>
      <c r="O62" s="88">
        <f t="shared" si="2"/>
        <v>188</v>
      </c>
      <c r="P62" s="73">
        <v>80</v>
      </c>
      <c r="Q62" s="101">
        <v>52</v>
      </c>
      <c r="R62" s="74">
        <f t="shared" si="3"/>
        <v>132</v>
      </c>
      <c r="S62" s="73">
        <v>82</v>
      </c>
      <c r="T62" s="101">
        <v>58</v>
      </c>
      <c r="U62" s="74">
        <f t="shared" si="4"/>
        <v>140</v>
      </c>
      <c r="V62" s="73">
        <v>51</v>
      </c>
      <c r="W62" s="101">
        <v>51</v>
      </c>
      <c r="X62" s="74">
        <f t="shared" si="5"/>
        <v>102</v>
      </c>
      <c r="Y62" s="73"/>
      <c r="Z62" s="101"/>
      <c r="AA62" s="74"/>
      <c r="AB62" s="68">
        <v>44</v>
      </c>
      <c r="AC62" s="68">
        <v>20</v>
      </c>
      <c r="AD62" s="74">
        <f t="shared" si="6"/>
        <v>64</v>
      </c>
      <c r="AE62" s="68">
        <v>21</v>
      </c>
      <c r="AF62" s="68">
        <v>21</v>
      </c>
      <c r="AG62" s="74">
        <f t="shared" si="7"/>
        <v>42</v>
      </c>
      <c r="AH62" s="68">
        <v>21</v>
      </c>
      <c r="AI62" s="68">
        <v>24</v>
      </c>
      <c r="AJ62" s="74">
        <f t="shared" si="8"/>
        <v>45</v>
      </c>
      <c r="AK62" s="89">
        <v>44</v>
      </c>
      <c r="AL62" s="74">
        <f t="shared" si="9"/>
        <v>949</v>
      </c>
      <c r="AM62" s="90" t="s">
        <v>556</v>
      </c>
      <c r="AN62" s="91"/>
    </row>
    <row r="63" spans="1:40" s="92" customFormat="1" ht="89.25" customHeight="1" x14ac:dyDescent="0.25">
      <c r="A63" s="68">
        <v>56</v>
      </c>
      <c r="B63" s="85">
        <v>180090101058</v>
      </c>
      <c r="C63" s="70">
        <v>180000100110</v>
      </c>
      <c r="D63" s="99" t="s">
        <v>243</v>
      </c>
      <c r="E63" s="99" t="s">
        <v>244</v>
      </c>
      <c r="F63" s="100"/>
      <c r="G63" s="68">
        <v>98</v>
      </c>
      <c r="H63" s="68">
        <v>73</v>
      </c>
      <c r="I63" s="88">
        <f t="shared" si="0"/>
        <v>171</v>
      </c>
      <c r="J63" s="73">
        <v>68</v>
      </c>
      <c r="K63" s="101">
        <v>56</v>
      </c>
      <c r="L63" s="74">
        <f t="shared" si="1"/>
        <v>124</v>
      </c>
      <c r="M63" s="68">
        <v>112</v>
      </c>
      <c r="N63" s="68">
        <v>74</v>
      </c>
      <c r="O63" s="88">
        <f t="shared" si="2"/>
        <v>186</v>
      </c>
      <c r="P63" s="73">
        <v>77</v>
      </c>
      <c r="Q63" s="101">
        <v>54</v>
      </c>
      <c r="R63" s="74">
        <f t="shared" si="3"/>
        <v>131</v>
      </c>
      <c r="S63" s="73">
        <v>85</v>
      </c>
      <c r="T63" s="101">
        <v>58</v>
      </c>
      <c r="U63" s="74">
        <f t="shared" si="4"/>
        <v>143</v>
      </c>
      <c r="V63" s="73">
        <v>51</v>
      </c>
      <c r="W63" s="101">
        <v>54</v>
      </c>
      <c r="X63" s="74">
        <f t="shared" si="5"/>
        <v>105</v>
      </c>
      <c r="Y63" s="73"/>
      <c r="Z63" s="101"/>
      <c r="AA63" s="74"/>
      <c r="AB63" s="68">
        <v>44</v>
      </c>
      <c r="AC63" s="68">
        <v>19</v>
      </c>
      <c r="AD63" s="74">
        <f t="shared" si="6"/>
        <v>63</v>
      </c>
      <c r="AE63" s="68">
        <v>22</v>
      </c>
      <c r="AF63" s="68">
        <v>21</v>
      </c>
      <c r="AG63" s="74">
        <f t="shared" si="7"/>
        <v>43</v>
      </c>
      <c r="AH63" s="68">
        <v>21</v>
      </c>
      <c r="AI63" s="68">
        <v>24</v>
      </c>
      <c r="AJ63" s="74">
        <f t="shared" si="8"/>
        <v>45</v>
      </c>
      <c r="AK63" s="89">
        <v>44</v>
      </c>
      <c r="AL63" s="74">
        <f t="shared" si="9"/>
        <v>948</v>
      </c>
      <c r="AM63" s="90" t="s">
        <v>556</v>
      </c>
      <c r="AN63" s="91"/>
    </row>
    <row r="64" spans="1:40" s="68" customFormat="1" ht="89.25" customHeight="1" x14ac:dyDescent="0.25">
      <c r="A64" s="68">
        <v>57</v>
      </c>
      <c r="B64" s="74">
        <v>180090101060</v>
      </c>
      <c r="C64" s="70">
        <v>180000100112</v>
      </c>
      <c r="D64" s="102" t="s">
        <v>245</v>
      </c>
      <c r="E64" s="102" t="s">
        <v>246</v>
      </c>
      <c r="F64" s="105"/>
      <c r="G64" s="68">
        <v>100</v>
      </c>
      <c r="H64" s="68">
        <v>72</v>
      </c>
      <c r="I64" s="88">
        <f t="shared" si="0"/>
        <v>172</v>
      </c>
      <c r="J64" s="73">
        <v>65</v>
      </c>
      <c r="K64" s="68">
        <v>54</v>
      </c>
      <c r="L64" s="74">
        <f t="shared" si="1"/>
        <v>119</v>
      </c>
      <c r="M64" s="68">
        <v>112</v>
      </c>
      <c r="N64" s="68">
        <v>74</v>
      </c>
      <c r="O64" s="88">
        <f t="shared" si="2"/>
        <v>186</v>
      </c>
      <c r="P64" s="73">
        <v>75</v>
      </c>
      <c r="Q64" s="68">
        <v>52</v>
      </c>
      <c r="R64" s="74">
        <f t="shared" si="3"/>
        <v>127</v>
      </c>
      <c r="S64" s="73">
        <v>84</v>
      </c>
      <c r="T64" s="68">
        <v>57</v>
      </c>
      <c r="U64" s="74">
        <f t="shared" si="4"/>
        <v>141</v>
      </c>
      <c r="V64" s="73">
        <v>57</v>
      </c>
      <c r="W64" s="68">
        <v>50</v>
      </c>
      <c r="X64" s="74">
        <f t="shared" si="5"/>
        <v>107</v>
      </c>
      <c r="Y64" s="73"/>
      <c r="AA64" s="74"/>
      <c r="AB64" s="68">
        <v>44</v>
      </c>
      <c r="AC64" s="68">
        <v>19</v>
      </c>
      <c r="AD64" s="74">
        <f t="shared" si="6"/>
        <v>63</v>
      </c>
      <c r="AE64" s="68">
        <v>20</v>
      </c>
      <c r="AF64" s="68">
        <v>21</v>
      </c>
      <c r="AG64" s="74">
        <f t="shared" si="7"/>
        <v>41</v>
      </c>
      <c r="AH64" s="68">
        <v>21</v>
      </c>
      <c r="AI64" s="68">
        <v>24</v>
      </c>
      <c r="AJ64" s="74">
        <f t="shared" si="8"/>
        <v>45</v>
      </c>
      <c r="AK64" s="89">
        <v>46</v>
      </c>
      <c r="AL64" s="74">
        <f t="shared" si="9"/>
        <v>938</v>
      </c>
      <c r="AM64" s="90" t="s">
        <v>556</v>
      </c>
      <c r="AN64" s="74"/>
    </row>
    <row r="65" spans="1:40" s="68" customFormat="1" ht="89.25" customHeight="1" x14ac:dyDescent="0.25">
      <c r="A65" s="68">
        <v>58</v>
      </c>
      <c r="B65" s="74">
        <v>180090101061</v>
      </c>
      <c r="C65" s="70">
        <v>180000100113</v>
      </c>
      <c r="D65" s="102" t="s">
        <v>247</v>
      </c>
      <c r="E65" s="102" t="s">
        <v>248</v>
      </c>
      <c r="F65" s="105"/>
      <c r="G65" s="68">
        <v>96</v>
      </c>
      <c r="H65" s="68">
        <v>76</v>
      </c>
      <c r="I65" s="88">
        <f t="shared" si="0"/>
        <v>172</v>
      </c>
      <c r="J65" s="104">
        <v>65</v>
      </c>
      <c r="K65" s="68">
        <v>56</v>
      </c>
      <c r="L65" s="74">
        <f t="shared" si="1"/>
        <v>121</v>
      </c>
      <c r="M65" s="68">
        <v>114</v>
      </c>
      <c r="N65" s="68">
        <v>73</v>
      </c>
      <c r="O65" s="88">
        <f t="shared" si="2"/>
        <v>187</v>
      </c>
      <c r="P65" s="104">
        <v>78</v>
      </c>
      <c r="Q65" s="68">
        <v>54</v>
      </c>
      <c r="R65" s="74">
        <f t="shared" si="3"/>
        <v>132</v>
      </c>
      <c r="S65" s="104">
        <v>85</v>
      </c>
      <c r="T65" s="68">
        <v>57</v>
      </c>
      <c r="U65" s="74">
        <f t="shared" si="4"/>
        <v>142</v>
      </c>
      <c r="V65" s="104">
        <v>51</v>
      </c>
      <c r="W65" s="68">
        <v>51</v>
      </c>
      <c r="X65" s="74">
        <f t="shared" si="5"/>
        <v>102</v>
      </c>
      <c r="Y65" s="104"/>
      <c r="AA65" s="74"/>
      <c r="AB65" s="68">
        <v>43</v>
      </c>
      <c r="AC65" s="68">
        <v>20</v>
      </c>
      <c r="AD65" s="74">
        <f t="shared" si="6"/>
        <v>63</v>
      </c>
      <c r="AE65" s="68">
        <v>22</v>
      </c>
      <c r="AF65" s="68">
        <v>22</v>
      </c>
      <c r="AG65" s="74">
        <f t="shared" si="7"/>
        <v>44</v>
      </c>
      <c r="AH65" s="68">
        <v>22</v>
      </c>
      <c r="AI65" s="68">
        <v>20</v>
      </c>
      <c r="AJ65" s="74">
        <f t="shared" si="8"/>
        <v>42</v>
      </c>
      <c r="AK65" s="89">
        <v>48</v>
      </c>
      <c r="AL65" s="74">
        <f t="shared" si="9"/>
        <v>942</v>
      </c>
      <c r="AM65" s="90" t="s">
        <v>556</v>
      </c>
      <c r="AN65" s="74"/>
    </row>
    <row r="66" spans="1:40" s="68" customFormat="1" ht="89.25" customHeight="1" x14ac:dyDescent="0.4">
      <c r="A66" s="68">
        <v>59</v>
      </c>
      <c r="B66" s="69">
        <v>690090101001</v>
      </c>
      <c r="C66" s="69">
        <v>690090100307</v>
      </c>
      <c r="D66" s="75" t="s">
        <v>475</v>
      </c>
      <c r="E66" s="75" t="s">
        <v>476</v>
      </c>
      <c r="F66" s="76"/>
      <c r="G66" s="112">
        <v>98</v>
      </c>
      <c r="H66" s="112">
        <v>72</v>
      </c>
      <c r="I66" s="88">
        <f t="shared" si="0"/>
        <v>170</v>
      </c>
      <c r="J66" s="73">
        <v>62</v>
      </c>
      <c r="K66" s="112">
        <v>56</v>
      </c>
      <c r="L66" s="74">
        <f t="shared" si="1"/>
        <v>118</v>
      </c>
      <c r="M66" s="112">
        <v>112</v>
      </c>
      <c r="N66" s="112">
        <v>73</v>
      </c>
      <c r="O66" s="88">
        <f t="shared" si="2"/>
        <v>185</v>
      </c>
      <c r="P66" s="73">
        <v>74</v>
      </c>
      <c r="Q66" s="112">
        <v>47</v>
      </c>
      <c r="R66" s="74">
        <f t="shared" si="3"/>
        <v>121</v>
      </c>
      <c r="S66" s="73">
        <v>85</v>
      </c>
      <c r="T66" s="112">
        <v>57</v>
      </c>
      <c r="U66" s="74">
        <f t="shared" si="4"/>
        <v>142</v>
      </c>
      <c r="V66" s="73">
        <v>54</v>
      </c>
      <c r="W66" s="112">
        <v>53</v>
      </c>
      <c r="X66" s="74">
        <f t="shared" si="5"/>
        <v>107</v>
      </c>
      <c r="Y66" s="73"/>
      <c r="Z66" s="112"/>
      <c r="AA66" s="74"/>
      <c r="AB66" s="68">
        <v>43</v>
      </c>
      <c r="AC66" s="68">
        <v>19</v>
      </c>
      <c r="AD66" s="74">
        <f t="shared" si="6"/>
        <v>62</v>
      </c>
      <c r="AE66" s="112">
        <v>23</v>
      </c>
      <c r="AF66" s="68">
        <v>21</v>
      </c>
      <c r="AG66" s="74">
        <f t="shared" si="7"/>
        <v>44</v>
      </c>
      <c r="AH66" s="112">
        <v>22</v>
      </c>
      <c r="AI66" s="112">
        <v>17</v>
      </c>
      <c r="AJ66" s="74">
        <f t="shared" si="8"/>
        <v>39</v>
      </c>
      <c r="AK66" s="113">
        <v>48</v>
      </c>
      <c r="AL66" s="74">
        <f t="shared" si="9"/>
        <v>926</v>
      </c>
      <c r="AM66" s="90" t="s">
        <v>556</v>
      </c>
      <c r="AN66" s="107"/>
    </row>
    <row r="67" spans="1:40" s="68" customFormat="1" ht="89.25" customHeight="1" x14ac:dyDescent="0.25">
      <c r="A67" s="68">
        <v>60</v>
      </c>
      <c r="B67" s="69">
        <v>690090101002</v>
      </c>
      <c r="C67" s="69">
        <v>690090100308</v>
      </c>
      <c r="D67" s="75" t="s">
        <v>477</v>
      </c>
      <c r="E67" s="106" t="s">
        <v>478</v>
      </c>
      <c r="F67" s="72"/>
      <c r="G67" s="68">
        <v>96</v>
      </c>
      <c r="H67" s="68">
        <v>71</v>
      </c>
      <c r="I67" s="88">
        <f t="shared" si="0"/>
        <v>167</v>
      </c>
      <c r="J67" s="73">
        <v>62</v>
      </c>
      <c r="K67" s="68">
        <v>50</v>
      </c>
      <c r="L67" s="74">
        <f t="shared" si="1"/>
        <v>112</v>
      </c>
      <c r="M67" s="68">
        <v>110</v>
      </c>
      <c r="N67" s="68">
        <v>73</v>
      </c>
      <c r="O67" s="88">
        <f t="shared" si="2"/>
        <v>183</v>
      </c>
      <c r="P67" s="73">
        <v>75</v>
      </c>
      <c r="Q67" s="68">
        <v>47</v>
      </c>
      <c r="R67" s="74">
        <f t="shared" si="3"/>
        <v>122</v>
      </c>
      <c r="S67" s="73">
        <v>82</v>
      </c>
      <c r="T67" s="68">
        <v>55</v>
      </c>
      <c r="U67" s="74">
        <f t="shared" si="4"/>
        <v>137</v>
      </c>
      <c r="V67" s="73">
        <v>53</v>
      </c>
      <c r="W67" s="68">
        <v>51</v>
      </c>
      <c r="X67" s="74">
        <f t="shared" si="5"/>
        <v>104</v>
      </c>
      <c r="Y67" s="73"/>
      <c r="AA67" s="74"/>
      <c r="AB67" s="68">
        <v>44</v>
      </c>
      <c r="AC67" s="68">
        <v>19</v>
      </c>
      <c r="AD67" s="74">
        <f t="shared" si="6"/>
        <v>63</v>
      </c>
      <c r="AE67" s="68">
        <v>21</v>
      </c>
      <c r="AF67" s="68">
        <v>22</v>
      </c>
      <c r="AG67" s="74">
        <f t="shared" si="7"/>
        <v>43</v>
      </c>
      <c r="AH67" s="68">
        <v>21</v>
      </c>
      <c r="AI67" s="68">
        <v>21</v>
      </c>
      <c r="AJ67" s="74">
        <f t="shared" si="8"/>
        <v>42</v>
      </c>
      <c r="AK67" s="74">
        <v>46</v>
      </c>
      <c r="AL67" s="74">
        <f t="shared" si="9"/>
        <v>910</v>
      </c>
      <c r="AM67" s="90" t="s">
        <v>556</v>
      </c>
    </row>
    <row r="68" spans="1:40" s="68" customFormat="1" ht="89.25" customHeight="1" x14ac:dyDescent="0.25">
      <c r="A68" s="68">
        <v>61</v>
      </c>
      <c r="B68" s="69">
        <v>690090101003</v>
      </c>
      <c r="C68" s="69">
        <v>690090100309</v>
      </c>
      <c r="D68" s="75" t="s">
        <v>479</v>
      </c>
      <c r="E68" s="106" t="s">
        <v>480</v>
      </c>
      <c r="F68" s="72"/>
      <c r="G68" s="68">
        <v>94</v>
      </c>
      <c r="H68" s="68">
        <v>72</v>
      </c>
      <c r="I68" s="88">
        <f t="shared" si="0"/>
        <v>166</v>
      </c>
      <c r="J68" s="112">
        <v>65</v>
      </c>
      <c r="K68" s="68">
        <v>55</v>
      </c>
      <c r="L68" s="74">
        <f t="shared" si="1"/>
        <v>120</v>
      </c>
      <c r="M68" s="68">
        <v>112</v>
      </c>
      <c r="N68" s="68">
        <v>72</v>
      </c>
      <c r="O68" s="88">
        <f t="shared" si="2"/>
        <v>184</v>
      </c>
      <c r="P68" s="112">
        <v>72</v>
      </c>
      <c r="Q68" s="68">
        <v>49</v>
      </c>
      <c r="R68" s="74">
        <f t="shared" si="3"/>
        <v>121</v>
      </c>
      <c r="S68" s="112">
        <v>85</v>
      </c>
      <c r="T68" s="68">
        <v>57</v>
      </c>
      <c r="U68" s="74">
        <f t="shared" si="4"/>
        <v>142</v>
      </c>
      <c r="V68" s="112">
        <v>56</v>
      </c>
      <c r="W68" s="68">
        <v>51</v>
      </c>
      <c r="X68" s="74">
        <f t="shared" si="5"/>
        <v>107</v>
      </c>
      <c r="Y68" s="112"/>
      <c r="AA68" s="74"/>
      <c r="AB68" s="68">
        <v>42</v>
      </c>
      <c r="AC68" s="68">
        <v>19</v>
      </c>
      <c r="AD68" s="74">
        <f t="shared" si="6"/>
        <v>61</v>
      </c>
      <c r="AE68" s="68">
        <v>23</v>
      </c>
      <c r="AF68" s="68">
        <v>22</v>
      </c>
      <c r="AG68" s="74">
        <f t="shared" si="7"/>
        <v>45</v>
      </c>
      <c r="AH68" s="68">
        <v>22</v>
      </c>
      <c r="AI68" s="68">
        <v>22</v>
      </c>
      <c r="AJ68" s="74">
        <f t="shared" si="8"/>
        <v>44</v>
      </c>
      <c r="AK68" s="74">
        <v>48</v>
      </c>
      <c r="AL68" s="74">
        <f t="shared" si="9"/>
        <v>929</v>
      </c>
      <c r="AM68" s="90" t="s">
        <v>556</v>
      </c>
    </row>
    <row r="69" spans="1:40" s="68" customFormat="1" ht="89.25" customHeight="1" x14ac:dyDescent="0.25">
      <c r="A69" s="68">
        <v>62</v>
      </c>
      <c r="B69" s="69">
        <v>690090101004</v>
      </c>
      <c r="C69" s="69">
        <v>690090100310</v>
      </c>
      <c r="D69" s="75" t="s">
        <v>419</v>
      </c>
      <c r="E69" s="106" t="s">
        <v>481</v>
      </c>
      <c r="F69" s="72"/>
      <c r="G69" s="68">
        <v>82</v>
      </c>
      <c r="H69" s="68">
        <v>73</v>
      </c>
      <c r="I69" s="88">
        <f t="shared" si="0"/>
        <v>155</v>
      </c>
      <c r="J69" s="68">
        <v>60</v>
      </c>
      <c r="K69" s="68">
        <v>50</v>
      </c>
      <c r="L69" s="74">
        <f t="shared" si="1"/>
        <v>110</v>
      </c>
      <c r="M69" s="68">
        <v>112</v>
      </c>
      <c r="N69" s="68">
        <v>74</v>
      </c>
      <c r="O69" s="88">
        <f t="shared" si="2"/>
        <v>186</v>
      </c>
      <c r="P69" s="68">
        <v>80</v>
      </c>
      <c r="Q69" s="68">
        <v>45</v>
      </c>
      <c r="R69" s="74">
        <f t="shared" si="3"/>
        <v>125</v>
      </c>
      <c r="S69" s="68">
        <v>84</v>
      </c>
      <c r="T69" s="68">
        <v>57</v>
      </c>
      <c r="U69" s="74">
        <f t="shared" si="4"/>
        <v>141</v>
      </c>
      <c r="V69" s="68">
        <v>56</v>
      </c>
      <c r="W69" s="68">
        <v>50</v>
      </c>
      <c r="X69" s="74">
        <f t="shared" si="5"/>
        <v>106</v>
      </c>
      <c r="AA69" s="74"/>
      <c r="AB69" s="68">
        <v>42</v>
      </c>
      <c r="AC69" s="68">
        <v>19</v>
      </c>
      <c r="AD69" s="74">
        <f t="shared" si="6"/>
        <v>61</v>
      </c>
      <c r="AE69" s="68">
        <v>21</v>
      </c>
      <c r="AF69" s="68">
        <v>21</v>
      </c>
      <c r="AG69" s="74">
        <f t="shared" si="7"/>
        <v>42</v>
      </c>
      <c r="AH69" s="68">
        <v>21</v>
      </c>
      <c r="AI69" s="68">
        <v>17</v>
      </c>
      <c r="AJ69" s="74">
        <f t="shared" si="8"/>
        <v>38</v>
      </c>
      <c r="AK69" s="74">
        <v>48</v>
      </c>
      <c r="AL69" s="74">
        <f t="shared" si="9"/>
        <v>903</v>
      </c>
      <c r="AM69" s="90" t="s">
        <v>556</v>
      </c>
      <c r="AN69" s="91"/>
    </row>
    <row r="70" spans="1:40" s="68" customFormat="1" ht="89.25" customHeight="1" x14ac:dyDescent="0.25">
      <c r="A70" s="68">
        <v>63</v>
      </c>
      <c r="B70" s="69">
        <v>690090101005</v>
      </c>
      <c r="C70" s="69">
        <v>690090100311</v>
      </c>
      <c r="D70" s="75" t="s">
        <v>482</v>
      </c>
      <c r="E70" s="106" t="s">
        <v>483</v>
      </c>
      <c r="F70" s="72"/>
      <c r="G70" s="68">
        <v>96</v>
      </c>
      <c r="H70" s="68">
        <v>74</v>
      </c>
      <c r="I70" s="88">
        <f t="shared" si="0"/>
        <v>170</v>
      </c>
      <c r="J70" s="68">
        <v>59</v>
      </c>
      <c r="K70" s="68">
        <v>43</v>
      </c>
      <c r="L70" s="74">
        <f t="shared" si="1"/>
        <v>102</v>
      </c>
      <c r="M70" s="68">
        <v>98</v>
      </c>
      <c r="N70" s="68">
        <v>74</v>
      </c>
      <c r="O70" s="88">
        <f t="shared" si="2"/>
        <v>172</v>
      </c>
      <c r="P70" s="68">
        <v>78</v>
      </c>
      <c r="Q70" s="68">
        <v>48</v>
      </c>
      <c r="R70" s="74">
        <f t="shared" si="3"/>
        <v>126</v>
      </c>
      <c r="S70" s="68">
        <v>79</v>
      </c>
      <c r="T70" s="68">
        <v>39</v>
      </c>
      <c r="U70" s="74">
        <f t="shared" si="4"/>
        <v>118</v>
      </c>
      <c r="V70" s="68">
        <v>53</v>
      </c>
      <c r="W70" s="68">
        <v>42</v>
      </c>
      <c r="X70" s="74">
        <f t="shared" si="5"/>
        <v>95</v>
      </c>
      <c r="AA70" s="74"/>
      <c r="AB70" s="68">
        <v>43</v>
      </c>
      <c r="AC70" s="68">
        <v>19</v>
      </c>
      <c r="AD70" s="74">
        <f t="shared" si="6"/>
        <v>62</v>
      </c>
      <c r="AE70" s="68">
        <v>22</v>
      </c>
      <c r="AF70" s="68">
        <v>19</v>
      </c>
      <c r="AG70" s="74">
        <f t="shared" si="7"/>
        <v>41</v>
      </c>
      <c r="AH70" s="68">
        <v>20</v>
      </c>
      <c r="AI70" s="68">
        <v>20</v>
      </c>
      <c r="AJ70" s="74">
        <f t="shared" si="8"/>
        <v>40</v>
      </c>
      <c r="AK70" s="74">
        <v>48</v>
      </c>
      <c r="AL70" s="74">
        <f t="shared" si="9"/>
        <v>864</v>
      </c>
      <c r="AM70" s="90" t="s">
        <v>556</v>
      </c>
      <c r="AN70" s="91"/>
    </row>
    <row r="71" spans="1:40" s="68" customFormat="1" ht="89.25" customHeight="1" x14ac:dyDescent="0.25">
      <c r="A71" s="68">
        <v>64</v>
      </c>
      <c r="B71" s="69">
        <v>690090101006</v>
      </c>
      <c r="C71" s="69">
        <v>690090100312</v>
      </c>
      <c r="D71" s="75" t="s">
        <v>484</v>
      </c>
      <c r="E71" s="106" t="s">
        <v>485</v>
      </c>
      <c r="F71" s="72"/>
      <c r="G71" s="68">
        <v>92</v>
      </c>
      <c r="H71" s="68">
        <v>73</v>
      </c>
      <c r="I71" s="88">
        <f t="shared" si="0"/>
        <v>165</v>
      </c>
      <c r="J71" s="68">
        <v>56</v>
      </c>
      <c r="K71" s="68">
        <v>50</v>
      </c>
      <c r="L71" s="74">
        <f t="shared" si="1"/>
        <v>106</v>
      </c>
      <c r="M71" s="68">
        <v>108</v>
      </c>
      <c r="N71" s="68">
        <v>73</v>
      </c>
      <c r="O71" s="88">
        <f t="shared" si="2"/>
        <v>181</v>
      </c>
      <c r="P71" s="68">
        <v>74</v>
      </c>
      <c r="Q71" s="68">
        <v>37</v>
      </c>
      <c r="R71" s="74">
        <f t="shared" si="3"/>
        <v>111</v>
      </c>
      <c r="S71" s="68">
        <v>81</v>
      </c>
      <c r="T71" s="68">
        <v>56</v>
      </c>
      <c r="U71" s="74">
        <f t="shared" si="4"/>
        <v>137</v>
      </c>
      <c r="V71" s="68">
        <v>50</v>
      </c>
      <c r="W71" s="68">
        <v>43</v>
      </c>
      <c r="X71" s="74">
        <f t="shared" si="5"/>
        <v>93</v>
      </c>
      <c r="AA71" s="74"/>
      <c r="AB71" s="68">
        <v>44</v>
      </c>
      <c r="AC71" s="68">
        <v>19</v>
      </c>
      <c r="AD71" s="74">
        <f t="shared" si="6"/>
        <v>63</v>
      </c>
      <c r="AE71" s="68">
        <v>23</v>
      </c>
      <c r="AF71" s="68">
        <v>21</v>
      </c>
      <c r="AG71" s="74">
        <f t="shared" si="7"/>
        <v>44</v>
      </c>
      <c r="AH71" s="68">
        <v>22</v>
      </c>
      <c r="AI71" s="68">
        <v>21</v>
      </c>
      <c r="AJ71" s="74">
        <f t="shared" si="8"/>
        <v>43</v>
      </c>
      <c r="AK71" s="74">
        <v>45</v>
      </c>
      <c r="AL71" s="74">
        <f t="shared" si="9"/>
        <v>880</v>
      </c>
      <c r="AM71" s="90" t="s">
        <v>556</v>
      </c>
      <c r="AN71" s="91"/>
    </row>
    <row r="72" spans="1:40" s="68" customFormat="1" ht="89.25" customHeight="1" x14ac:dyDescent="0.25">
      <c r="A72" s="68">
        <v>65</v>
      </c>
      <c r="B72" s="69">
        <v>690090101007</v>
      </c>
      <c r="C72" s="69">
        <v>690090100313</v>
      </c>
      <c r="D72" s="75" t="s">
        <v>486</v>
      </c>
      <c r="E72" s="106" t="s">
        <v>487</v>
      </c>
      <c r="F72" s="72"/>
      <c r="G72" s="68">
        <v>86</v>
      </c>
      <c r="H72" s="68">
        <v>63</v>
      </c>
      <c r="I72" s="88">
        <f t="shared" si="0"/>
        <v>149</v>
      </c>
      <c r="J72" s="68">
        <v>57</v>
      </c>
      <c r="K72" s="68">
        <v>39</v>
      </c>
      <c r="L72" s="74">
        <f t="shared" si="1"/>
        <v>96</v>
      </c>
      <c r="M72" s="68">
        <v>108</v>
      </c>
      <c r="N72" s="68">
        <v>70</v>
      </c>
      <c r="O72" s="88">
        <f t="shared" si="2"/>
        <v>178</v>
      </c>
      <c r="P72" s="68">
        <v>77</v>
      </c>
      <c r="Q72" s="68">
        <v>38</v>
      </c>
      <c r="R72" s="74">
        <f t="shared" si="3"/>
        <v>115</v>
      </c>
      <c r="S72" s="68">
        <v>87</v>
      </c>
      <c r="T72" s="68">
        <v>54</v>
      </c>
      <c r="U72" s="74">
        <f t="shared" si="4"/>
        <v>141</v>
      </c>
      <c r="V72" s="68">
        <v>45</v>
      </c>
      <c r="W72" s="68">
        <v>49</v>
      </c>
      <c r="X72" s="74">
        <f t="shared" si="5"/>
        <v>94</v>
      </c>
      <c r="AA72" s="74"/>
      <c r="AB72" s="68">
        <v>41</v>
      </c>
      <c r="AC72" s="68">
        <v>19</v>
      </c>
      <c r="AD72" s="74">
        <f t="shared" si="6"/>
        <v>60</v>
      </c>
      <c r="AE72" s="68">
        <v>20</v>
      </c>
      <c r="AF72" s="68">
        <v>23</v>
      </c>
      <c r="AG72" s="74">
        <f t="shared" si="7"/>
        <v>43</v>
      </c>
      <c r="AH72" s="68">
        <v>18</v>
      </c>
      <c r="AI72" s="68">
        <v>17</v>
      </c>
      <c r="AJ72" s="74">
        <f t="shared" si="8"/>
        <v>35</v>
      </c>
      <c r="AK72" s="74">
        <v>48</v>
      </c>
      <c r="AL72" s="74">
        <f t="shared" si="9"/>
        <v>851</v>
      </c>
      <c r="AM72" s="90" t="s">
        <v>556</v>
      </c>
      <c r="AN72" s="91"/>
    </row>
    <row r="73" spans="1:40" s="68" customFormat="1" ht="89.25" customHeight="1" x14ac:dyDescent="0.25">
      <c r="A73" s="68">
        <v>66</v>
      </c>
      <c r="B73" s="69">
        <v>690090101008</v>
      </c>
      <c r="C73" s="69">
        <v>690090100314</v>
      </c>
      <c r="D73" s="75" t="s">
        <v>488</v>
      </c>
      <c r="E73" s="106" t="s">
        <v>489</v>
      </c>
      <c r="F73" s="72"/>
      <c r="G73" s="68">
        <v>94</v>
      </c>
      <c r="H73" s="68">
        <v>67</v>
      </c>
      <c r="I73" s="88">
        <f>SUM(G73:H73)</f>
        <v>161</v>
      </c>
      <c r="J73" s="68">
        <v>62</v>
      </c>
      <c r="K73" s="68">
        <v>42</v>
      </c>
      <c r="L73" s="74">
        <f>SUM(J73:K73)</f>
        <v>104</v>
      </c>
      <c r="M73" s="68">
        <v>104</v>
      </c>
      <c r="N73" s="68">
        <v>65</v>
      </c>
      <c r="O73" s="88">
        <f>SUM(M73:N73)</f>
        <v>169</v>
      </c>
      <c r="P73" s="68">
        <v>75</v>
      </c>
      <c r="Q73" s="68">
        <v>45</v>
      </c>
      <c r="R73" s="74">
        <f>SUM(P73:Q73)</f>
        <v>120</v>
      </c>
      <c r="S73" s="68">
        <v>84</v>
      </c>
      <c r="T73" s="68">
        <v>54</v>
      </c>
      <c r="U73" s="74">
        <f>SUM(S73:T73)</f>
        <v>138</v>
      </c>
      <c r="V73" s="68">
        <v>53</v>
      </c>
      <c r="W73" s="68">
        <v>32</v>
      </c>
      <c r="X73" s="74">
        <f>SUM(V73:W73)</f>
        <v>85</v>
      </c>
      <c r="AA73" s="74"/>
      <c r="AB73" s="68">
        <v>41</v>
      </c>
      <c r="AC73" s="68">
        <v>19</v>
      </c>
      <c r="AD73" s="74">
        <f>SUM(AB73:AC73)</f>
        <v>60</v>
      </c>
      <c r="AE73" s="68">
        <v>22</v>
      </c>
      <c r="AF73" s="68">
        <v>21</v>
      </c>
      <c r="AG73" s="74">
        <f>SUM(AE73:AF73)</f>
        <v>43</v>
      </c>
      <c r="AH73" s="68">
        <v>19</v>
      </c>
      <c r="AI73" s="68">
        <v>17</v>
      </c>
      <c r="AJ73" s="74">
        <f>SUM(AH73:AI73)</f>
        <v>36</v>
      </c>
      <c r="AK73" s="74">
        <v>45</v>
      </c>
      <c r="AL73" s="74">
        <f>I73+L73+O73+R73+U73+X73+AG73+AJ73</f>
        <v>856</v>
      </c>
      <c r="AM73" s="90" t="s">
        <v>556</v>
      </c>
      <c r="AN73" s="91"/>
    </row>
  </sheetData>
  <mergeCells count="18">
    <mergeCell ref="G4:I4"/>
    <mergeCell ref="A3:AN3"/>
    <mergeCell ref="A2:AN2"/>
    <mergeCell ref="A1:AN1"/>
    <mergeCell ref="E4:E7"/>
    <mergeCell ref="AH4:AJ4"/>
    <mergeCell ref="AB4:AD4"/>
    <mergeCell ref="P4:R4"/>
    <mergeCell ref="M4:O4"/>
    <mergeCell ref="S4:U4"/>
    <mergeCell ref="AE4:AG4"/>
    <mergeCell ref="V4:X4"/>
    <mergeCell ref="Y4:AA4"/>
    <mergeCell ref="A4:A7"/>
    <mergeCell ref="B4:B7"/>
    <mergeCell ref="D4:D7"/>
    <mergeCell ref="J4:L4"/>
    <mergeCell ref="C4:C7"/>
  </mergeCells>
  <phoneticPr fontId="1" type="noConversion"/>
  <conditionalFormatting sqref="G8:G73 M8:M73">
    <cfRule type="cellIs" dxfId="35" priority="26" stopIfTrue="1" operator="lessThan">
      <formula>36</formula>
    </cfRule>
  </conditionalFormatting>
  <conditionalFormatting sqref="I8:I73 O8:O73">
    <cfRule type="cellIs" dxfId="34" priority="25" stopIfTrue="1" operator="lessThan">
      <formula>80</formula>
    </cfRule>
  </conditionalFormatting>
  <conditionalFormatting sqref="J8:J73 P8:P73 S8:S73 V8:V73 Y8:Y73">
    <cfRule type="cellIs" dxfId="33" priority="10" stopIfTrue="1" operator="lessThan">
      <formula>27</formula>
    </cfRule>
  </conditionalFormatting>
  <conditionalFormatting sqref="L8:L73 R8:R73 U8:U73 X8:X73 AA8:AA73">
    <cfRule type="cellIs" dxfId="32" priority="9" stopIfTrue="1" operator="lessThan">
      <formula>60</formula>
    </cfRule>
  </conditionalFormatting>
  <conditionalFormatting sqref="AB8:AB25 AB27:AB73">
    <cfRule type="cellIs" dxfId="31" priority="14" stopIfTrue="1" operator="lessThan">
      <formula>20</formula>
    </cfRule>
  </conditionalFormatting>
  <conditionalFormatting sqref="AD8:AD73">
    <cfRule type="cellIs" dxfId="30" priority="13" stopIfTrue="1" operator="lessThan">
      <formula>38</formula>
    </cfRule>
  </conditionalFormatting>
  <pageMargins left="0.47244094488188981" right="0.19685039370078741" top="0.62992125984251968" bottom="1.5748031496062993" header="0.35433070866141736" footer="0.82677165354330717"/>
  <pageSetup paperSize="8" scale="39" orientation="landscape" r:id="rId1"/>
  <headerFooter alignWithMargins="0">
    <oddFooter>&amp;L&amp;"Arial,Bold"&amp;16$ Non Credit Subject(s)&amp;"Arial,Regular"         Date 30.07.2021        Prepared by                   Checked by&amp;C&amp;16Controller (GBPIET)                   &amp;"Arial,Bold"DIRECTOR&amp;R&amp;16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"/>
  <sheetViews>
    <sheetView topLeftCell="A3" zoomScale="50" zoomScaleNormal="50" workbookViewId="0">
      <selection activeCell="B8" sqref="B8"/>
    </sheetView>
  </sheetViews>
  <sheetFormatPr defaultColWidth="6.81640625" defaultRowHeight="22.5" customHeight="1" x14ac:dyDescent="0.25"/>
  <cols>
    <col min="1" max="1" width="6.81640625" customWidth="1"/>
    <col min="2" max="2" width="27.7265625" customWidth="1"/>
    <col min="3" max="3" width="26.81640625" customWidth="1"/>
    <col min="4" max="4" width="37" customWidth="1"/>
    <col min="5" max="5" width="29.81640625" customWidth="1"/>
    <col min="6" max="6" width="11.453125" customWidth="1"/>
    <col min="7" max="8" width="8.81640625" customWidth="1"/>
    <col min="9" max="9" width="10.54296875" customWidth="1"/>
    <col min="10" max="40" width="8.81640625" customWidth="1"/>
    <col min="41" max="41" width="10.1796875" customWidth="1"/>
    <col min="42" max="42" width="19.7265625" customWidth="1"/>
    <col min="43" max="43" width="18" customWidth="1"/>
    <col min="44" max="44" width="19.26953125" customWidth="1"/>
    <col min="45" max="45" width="20" customWidth="1"/>
  </cols>
  <sheetData>
    <row r="1" spans="1:45" s="36" customFormat="1" ht="28.5" customHeight="1" x14ac:dyDescent="0.25">
      <c r="A1" s="163" t="s">
        <v>18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</row>
    <row r="2" spans="1:45" s="36" customFormat="1" ht="66.75" customHeight="1" x14ac:dyDescent="0.25">
      <c r="A2" s="163" t="s">
        <v>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</row>
    <row r="3" spans="1:45" s="36" customFormat="1" ht="66.75" customHeight="1" x14ac:dyDescent="0.25">
      <c r="A3" s="163" t="s">
        <v>574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</row>
    <row r="4" spans="1:45" ht="162.75" customHeight="1" x14ac:dyDescent="0.25">
      <c r="A4" s="174" t="s">
        <v>1</v>
      </c>
      <c r="B4" s="174" t="s">
        <v>0</v>
      </c>
      <c r="C4" s="174" t="s">
        <v>21</v>
      </c>
      <c r="D4" s="176" t="s">
        <v>6</v>
      </c>
      <c r="E4" s="176" t="s">
        <v>10</v>
      </c>
      <c r="F4" s="19" t="s">
        <v>5</v>
      </c>
      <c r="G4" s="183" t="s">
        <v>528</v>
      </c>
      <c r="H4" s="183"/>
      <c r="I4" s="183"/>
      <c r="J4" s="183" t="s">
        <v>529</v>
      </c>
      <c r="K4" s="183"/>
      <c r="L4" s="183"/>
      <c r="M4" s="183" t="s">
        <v>530</v>
      </c>
      <c r="N4" s="183"/>
      <c r="O4" s="183"/>
      <c r="P4" s="180" t="s">
        <v>555</v>
      </c>
      <c r="Q4" s="181"/>
      <c r="R4" s="182"/>
      <c r="S4" s="180" t="s">
        <v>531</v>
      </c>
      <c r="T4" s="181"/>
      <c r="U4" s="182"/>
      <c r="V4" s="180" t="s">
        <v>563</v>
      </c>
      <c r="W4" s="181"/>
      <c r="X4" s="182"/>
      <c r="Y4" s="180" t="s">
        <v>564</v>
      </c>
      <c r="Z4" s="181"/>
      <c r="AA4" s="182"/>
      <c r="AB4" s="180" t="s">
        <v>554</v>
      </c>
      <c r="AC4" s="181"/>
      <c r="AD4" s="182"/>
      <c r="AE4" s="183" t="s">
        <v>532</v>
      </c>
      <c r="AF4" s="183"/>
      <c r="AG4" s="183"/>
      <c r="AH4" s="183" t="s">
        <v>533</v>
      </c>
      <c r="AI4" s="183"/>
      <c r="AJ4" s="183"/>
      <c r="AK4" s="183" t="s">
        <v>590</v>
      </c>
      <c r="AL4" s="183"/>
      <c r="AM4" s="183"/>
      <c r="AN4" s="183" t="s">
        <v>534</v>
      </c>
      <c r="AO4" s="183"/>
      <c r="AP4" s="27" t="s">
        <v>524</v>
      </c>
      <c r="AQ4" s="27" t="s">
        <v>11</v>
      </c>
      <c r="AR4" s="27" t="s">
        <v>16</v>
      </c>
      <c r="AS4" s="23" t="s">
        <v>17</v>
      </c>
    </row>
    <row r="5" spans="1:45" ht="47.25" customHeight="1" x14ac:dyDescent="0.25">
      <c r="A5" s="174"/>
      <c r="B5" s="174"/>
      <c r="C5" s="174"/>
      <c r="D5" s="176"/>
      <c r="E5" s="176"/>
      <c r="F5" s="20"/>
      <c r="G5" s="32" t="s">
        <v>7</v>
      </c>
      <c r="H5" s="32" t="s">
        <v>8</v>
      </c>
      <c r="I5" s="32" t="s">
        <v>4</v>
      </c>
      <c r="J5" s="32" t="s">
        <v>7</v>
      </c>
      <c r="K5" s="32" t="s">
        <v>8</v>
      </c>
      <c r="L5" s="32" t="s">
        <v>4</v>
      </c>
      <c r="M5" s="32" t="s">
        <v>7</v>
      </c>
      <c r="N5" s="32" t="s">
        <v>8</v>
      </c>
      <c r="O5" s="32" t="s">
        <v>4</v>
      </c>
      <c r="P5" s="32" t="s">
        <v>7</v>
      </c>
      <c r="Q5" s="32" t="s">
        <v>8</v>
      </c>
      <c r="R5" s="32" t="s">
        <v>4</v>
      </c>
      <c r="S5" s="32" t="s">
        <v>7</v>
      </c>
      <c r="T5" s="32" t="s">
        <v>8</v>
      </c>
      <c r="U5" s="32" t="s">
        <v>4</v>
      </c>
      <c r="V5" s="32" t="s">
        <v>7</v>
      </c>
      <c r="W5" s="32" t="s">
        <v>8</v>
      </c>
      <c r="X5" s="32" t="s">
        <v>4</v>
      </c>
      <c r="Y5" s="32" t="s">
        <v>7</v>
      </c>
      <c r="Z5" s="32" t="s">
        <v>8</v>
      </c>
      <c r="AA5" s="32" t="s">
        <v>4</v>
      </c>
      <c r="AB5" s="32" t="s">
        <v>7</v>
      </c>
      <c r="AC5" s="32" t="s">
        <v>8</v>
      </c>
      <c r="AD5" s="32" t="s">
        <v>4</v>
      </c>
      <c r="AE5" s="32" t="s">
        <v>9</v>
      </c>
      <c r="AF5" s="32" t="s">
        <v>8</v>
      </c>
      <c r="AG5" s="32" t="s">
        <v>4</v>
      </c>
      <c r="AH5" s="32" t="s">
        <v>9</v>
      </c>
      <c r="AI5" s="32" t="s">
        <v>8</v>
      </c>
      <c r="AJ5" s="32" t="s">
        <v>4</v>
      </c>
      <c r="AK5" s="32" t="s">
        <v>9</v>
      </c>
      <c r="AL5" s="32" t="s">
        <v>8</v>
      </c>
      <c r="AM5" s="32" t="s">
        <v>4</v>
      </c>
      <c r="AN5" s="32" t="s">
        <v>8</v>
      </c>
      <c r="AO5" s="32" t="s">
        <v>4</v>
      </c>
      <c r="AP5" s="8"/>
      <c r="AQ5" s="29"/>
      <c r="AR5" s="20"/>
      <c r="AS5" s="20"/>
    </row>
    <row r="6" spans="1:45" ht="47.25" customHeight="1" x14ac:dyDescent="0.25">
      <c r="A6" s="174"/>
      <c r="B6" s="174"/>
      <c r="C6" s="174"/>
      <c r="D6" s="176"/>
      <c r="E6" s="176"/>
      <c r="F6" s="21" t="s">
        <v>2</v>
      </c>
      <c r="G6" s="40">
        <v>120</v>
      </c>
      <c r="H6" s="40">
        <v>80</v>
      </c>
      <c r="I6" s="40">
        <f>SUM(G6:H6)</f>
        <v>200</v>
      </c>
      <c r="J6" s="40">
        <v>120</v>
      </c>
      <c r="K6" s="40">
        <v>80</v>
      </c>
      <c r="L6" s="40">
        <f>SUM(J6:K6)</f>
        <v>200</v>
      </c>
      <c r="M6" s="40">
        <v>120</v>
      </c>
      <c r="N6" s="40">
        <v>80</v>
      </c>
      <c r="O6" s="40">
        <f>SUM(M6:N6)</f>
        <v>200</v>
      </c>
      <c r="P6" s="40">
        <v>120</v>
      </c>
      <c r="Q6" s="40">
        <v>80</v>
      </c>
      <c r="R6" s="40">
        <f>SUM(P6:Q6)</f>
        <v>200</v>
      </c>
      <c r="S6" s="40">
        <v>120</v>
      </c>
      <c r="T6" s="40">
        <v>80</v>
      </c>
      <c r="U6" s="40">
        <f>SUM(S6:T6)</f>
        <v>200</v>
      </c>
      <c r="V6" s="40">
        <v>90</v>
      </c>
      <c r="W6" s="40">
        <v>60</v>
      </c>
      <c r="X6" s="40">
        <f>SUM(V6:W6)</f>
        <v>150</v>
      </c>
      <c r="Y6" s="40">
        <v>90</v>
      </c>
      <c r="Z6" s="40">
        <v>60</v>
      </c>
      <c r="AA6" s="40">
        <f>SUM(Y6:Z6)</f>
        <v>150</v>
      </c>
      <c r="AB6" s="40">
        <v>90</v>
      </c>
      <c r="AC6" s="40">
        <v>60</v>
      </c>
      <c r="AD6" s="40">
        <f>SUM(AB6:AC6)</f>
        <v>150</v>
      </c>
      <c r="AE6" s="49">
        <v>25</v>
      </c>
      <c r="AF6" s="49">
        <v>25</v>
      </c>
      <c r="AG6" s="49">
        <f>SUM(AE6:AF6)</f>
        <v>50</v>
      </c>
      <c r="AH6" s="49">
        <v>25</v>
      </c>
      <c r="AI6" s="49">
        <v>25</v>
      </c>
      <c r="AJ6" s="49">
        <f>SUM(AH6:AI6)</f>
        <v>50</v>
      </c>
      <c r="AK6" s="49">
        <v>25</v>
      </c>
      <c r="AL6" s="49">
        <v>25</v>
      </c>
      <c r="AM6" s="49">
        <f>SUM(AK6:AL6)</f>
        <v>50</v>
      </c>
      <c r="AN6" s="49">
        <v>50</v>
      </c>
      <c r="AO6" s="49">
        <f>SUM(AN6:AN6)</f>
        <v>50</v>
      </c>
      <c r="AP6" s="40">
        <v>50</v>
      </c>
      <c r="AQ6" s="40">
        <f>I6+L6+O6+R6+U6+AD6+AG6+AO6</f>
        <v>1250</v>
      </c>
      <c r="AR6" s="38"/>
      <c r="AS6" s="30"/>
    </row>
    <row r="7" spans="1:45" ht="47.25" customHeight="1" x14ac:dyDescent="0.25">
      <c r="A7" s="175"/>
      <c r="B7" s="175"/>
      <c r="C7" s="175"/>
      <c r="D7" s="164"/>
      <c r="E7" s="164"/>
      <c r="F7" s="22" t="s">
        <v>3</v>
      </c>
      <c r="G7" s="116">
        <v>36</v>
      </c>
      <c r="H7" s="116"/>
      <c r="I7" s="116">
        <v>80</v>
      </c>
      <c r="J7" s="116">
        <v>36</v>
      </c>
      <c r="K7" s="116"/>
      <c r="L7" s="116">
        <v>80</v>
      </c>
      <c r="M7" s="116">
        <v>36</v>
      </c>
      <c r="N7" s="116"/>
      <c r="O7" s="116">
        <v>80</v>
      </c>
      <c r="P7" s="116">
        <v>36</v>
      </c>
      <c r="Q7" s="116"/>
      <c r="R7" s="116">
        <v>80</v>
      </c>
      <c r="S7" s="116">
        <v>36</v>
      </c>
      <c r="T7" s="116"/>
      <c r="U7" s="116">
        <v>80</v>
      </c>
      <c r="V7" s="116">
        <v>27</v>
      </c>
      <c r="W7" s="116"/>
      <c r="X7" s="116">
        <v>60</v>
      </c>
      <c r="Y7" s="116">
        <v>27</v>
      </c>
      <c r="Z7" s="116"/>
      <c r="AA7" s="116">
        <v>60</v>
      </c>
      <c r="AB7" s="116">
        <v>27</v>
      </c>
      <c r="AC7" s="116"/>
      <c r="AD7" s="116">
        <v>60</v>
      </c>
      <c r="AE7" s="51">
        <v>13</v>
      </c>
      <c r="AF7" s="51"/>
      <c r="AG7" s="51">
        <v>25</v>
      </c>
      <c r="AH7" s="51">
        <v>13</v>
      </c>
      <c r="AI7" s="51"/>
      <c r="AJ7" s="51">
        <v>25</v>
      </c>
      <c r="AK7" s="51">
        <v>13</v>
      </c>
      <c r="AL7" s="51"/>
      <c r="AM7" s="51">
        <v>25</v>
      </c>
      <c r="AN7" s="51"/>
      <c r="AO7" s="51">
        <v>25</v>
      </c>
      <c r="AP7" s="116"/>
      <c r="AQ7" s="40">
        <v>600</v>
      </c>
      <c r="AR7" s="35"/>
      <c r="AS7" s="31"/>
    </row>
    <row r="8" spans="1:45" ht="102.75" customHeight="1" x14ac:dyDescent="0.25">
      <c r="A8" s="44">
        <v>1</v>
      </c>
      <c r="B8" s="130">
        <v>180090105001</v>
      </c>
      <c r="C8" s="70">
        <v>180000100171</v>
      </c>
      <c r="D8" s="132" t="s">
        <v>249</v>
      </c>
      <c r="E8" s="46" t="s">
        <v>250</v>
      </c>
      <c r="F8" s="47"/>
      <c r="G8" s="73">
        <v>68</v>
      </c>
      <c r="H8" s="73">
        <v>71</v>
      </c>
      <c r="I8" s="74">
        <f>SUM(G8:H8)</f>
        <v>139</v>
      </c>
      <c r="J8" s="73">
        <v>86</v>
      </c>
      <c r="K8" s="73">
        <v>58</v>
      </c>
      <c r="L8" s="74">
        <f>SUM(J8:K8)</f>
        <v>144</v>
      </c>
      <c r="M8" s="73">
        <v>86</v>
      </c>
      <c r="N8" s="112">
        <v>71</v>
      </c>
      <c r="O8" s="74">
        <f>SUM(M8:N8)</f>
        <v>157</v>
      </c>
      <c r="P8" s="73"/>
      <c r="Q8" s="73"/>
      <c r="R8" s="74"/>
      <c r="S8" s="68">
        <v>108</v>
      </c>
      <c r="T8" s="68">
        <v>65</v>
      </c>
      <c r="U8" s="74">
        <f>SUM(S8:T8)</f>
        <v>173</v>
      </c>
      <c r="V8" s="73">
        <v>84</v>
      </c>
      <c r="W8" s="73">
        <v>58</v>
      </c>
      <c r="X8" s="74">
        <f>SUM(V8:W8)</f>
        <v>142</v>
      </c>
      <c r="Y8" s="68"/>
      <c r="Z8" s="68"/>
      <c r="AA8" s="74"/>
      <c r="AB8" s="73">
        <v>85</v>
      </c>
      <c r="AC8" s="73">
        <v>58</v>
      </c>
      <c r="AD8" s="74">
        <f>SUM(AB8:AC8)</f>
        <v>143</v>
      </c>
      <c r="AE8" s="73">
        <v>21</v>
      </c>
      <c r="AF8" s="73">
        <v>18</v>
      </c>
      <c r="AG8" s="74">
        <f>SUM(AE8:AF8)</f>
        <v>39</v>
      </c>
      <c r="AH8" s="68">
        <v>21</v>
      </c>
      <c r="AI8" s="68">
        <v>23</v>
      </c>
      <c r="AJ8" s="74">
        <f>SUM(AH8:AI8)</f>
        <v>44</v>
      </c>
      <c r="AK8" s="68">
        <v>23</v>
      </c>
      <c r="AL8" s="68">
        <v>23</v>
      </c>
      <c r="AM8" s="74">
        <f>SUM(AK8:AL8)</f>
        <v>46</v>
      </c>
      <c r="AN8" s="73">
        <v>40</v>
      </c>
      <c r="AO8" s="74">
        <f>SUM(AN8)</f>
        <v>40</v>
      </c>
      <c r="AP8" s="82">
        <v>45</v>
      </c>
      <c r="AQ8" s="74">
        <f>AO8+AM8+AJ8+AG8+AD8+AA8+X8+U8+R8+O8+L8+I8</f>
        <v>1067</v>
      </c>
      <c r="AR8" s="41" t="s">
        <v>556</v>
      </c>
      <c r="AS8" s="42"/>
    </row>
    <row r="9" spans="1:45" ht="102.75" customHeight="1" x14ac:dyDescent="0.25">
      <c r="A9" s="44">
        <v>2</v>
      </c>
      <c r="B9" s="130">
        <v>180090105002</v>
      </c>
      <c r="C9" s="70">
        <v>180000100172</v>
      </c>
      <c r="D9" s="132" t="s">
        <v>251</v>
      </c>
      <c r="E9" s="46" t="s">
        <v>252</v>
      </c>
      <c r="F9" s="47"/>
      <c r="G9" s="73">
        <v>86</v>
      </c>
      <c r="H9" s="73">
        <v>71</v>
      </c>
      <c r="I9" s="74">
        <f t="shared" ref="I9:I68" si="0">SUM(G9:H9)</f>
        <v>157</v>
      </c>
      <c r="J9" s="73">
        <v>78</v>
      </c>
      <c r="K9" s="73">
        <v>60</v>
      </c>
      <c r="L9" s="74">
        <f t="shared" ref="L9:L68" si="1">SUM(J9:K9)</f>
        <v>138</v>
      </c>
      <c r="M9" s="73">
        <v>100</v>
      </c>
      <c r="N9" s="112">
        <v>70</v>
      </c>
      <c r="O9" s="74">
        <f t="shared" ref="O9:O68" si="2">SUM(M9:N9)</f>
        <v>170</v>
      </c>
      <c r="P9" s="73"/>
      <c r="Q9" s="73"/>
      <c r="R9" s="74"/>
      <c r="S9" s="68">
        <v>110</v>
      </c>
      <c r="T9" s="68">
        <v>63</v>
      </c>
      <c r="U9" s="74">
        <f t="shared" ref="U9:U68" si="3">SUM(S9:T9)</f>
        <v>173</v>
      </c>
      <c r="V9" s="73">
        <v>78</v>
      </c>
      <c r="W9" s="73">
        <v>54</v>
      </c>
      <c r="X9" s="74">
        <f t="shared" ref="X9:X66" si="4">SUM(V9:W9)</f>
        <v>132</v>
      </c>
      <c r="Y9" s="68"/>
      <c r="Z9" s="68"/>
      <c r="AA9" s="74"/>
      <c r="AB9" s="73">
        <v>86</v>
      </c>
      <c r="AC9" s="73">
        <v>57</v>
      </c>
      <c r="AD9" s="74">
        <f t="shared" ref="AD9:AD68" si="5">SUM(AB9:AC9)</f>
        <v>143</v>
      </c>
      <c r="AE9" s="73">
        <v>21</v>
      </c>
      <c r="AF9" s="73">
        <v>21</v>
      </c>
      <c r="AG9" s="74">
        <f t="shared" ref="AG9:AG68" si="6">SUM(AE9:AF9)</f>
        <v>42</v>
      </c>
      <c r="AH9" s="68">
        <v>18</v>
      </c>
      <c r="AI9" s="68">
        <v>23</v>
      </c>
      <c r="AJ9" s="74">
        <f t="shared" ref="AJ9:AJ68" si="7">SUM(AH9:AI9)</f>
        <v>41</v>
      </c>
      <c r="AK9" s="68">
        <v>24</v>
      </c>
      <c r="AL9" s="68">
        <v>22</v>
      </c>
      <c r="AM9" s="74">
        <f t="shared" ref="AM9:AM68" si="8">SUM(AK9:AL9)</f>
        <v>46</v>
      </c>
      <c r="AN9" s="73">
        <v>41</v>
      </c>
      <c r="AO9" s="74">
        <f t="shared" ref="AO9:AO68" si="9">SUM(AN9)</f>
        <v>41</v>
      </c>
      <c r="AP9" s="82">
        <v>47</v>
      </c>
      <c r="AQ9" s="74">
        <f t="shared" ref="AQ9:AQ68" si="10">AO9+AM9+AJ9+AG9+AD9+AA9+X9+U9+R9+O9+L9+I9</f>
        <v>1083</v>
      </c>
      <c r="AR9" s="41" t="s">
        <v>556</v>
      </c>
      <c r="AS9" s="42"/>
    </row>
    <row r="10" spans="1:45" ht="102.75" customHeight="1" x14ac:dyDescent="0.25">
      <c r="A10" s="44">
        <v>3</v>
      </c>
      <c r="B10" s="130">
        <v>180090105003</v>
      </c>
      <c r="C10" s="70">
        <v>180000100173</v>
      </c>
      <c r="D10" s="132" t="s">
        <v>253</v>
      </c>
      <c r="E10" s="46" t="s">
        <v>254</v>
      </c>
      <c r="F10" s="47"/>
      <c r="G10" s="73">
        <v>90</v>
      </c>
      <c r="H10" s="73">
        <v>67</v>
      </c>
      <c r="I10" s="74">
        <f t="shared" si="0"/>
        <v>157</v>
      </c>
      <c r="J10" s="73">
        <v>88</v>
      </c>
      <c r="K10" s="73">
        <v>64</v>
      </c>
      <c r="L10" s="74">
        <f t="shared" si="1"/>
        <v>152</v>
      </c>
      <c r="M10" s="73">
        <v>96</v>
      </c>
      <c r="N10" s="68">
        <v>70</v>
      </c>
      <c r="O10" s="74">
        <f t="shared" si="2"/>
        <v>166</v>
      </c>
      <c r="P10" s="73"/>
      <c r="Q10" s="73"/>
      <c r="R10" s="74"/>
      <c r="S10" s="68">
        <v>112</v>
      </c>
      <c r="T10" s="68">
        <v>70</v>
      </c>
      <c r="U10" s="74">
        <f t="shared" si="3"/>
        <v>182</v>
      </c>
      <c r="V10" s="73"/>
      <c r="W10" s="73"/>
      <c r="X10" s="74"/>
      <c r="Y10" s="68">
        <v>72</v>
      </c>
      <c r="Z10" s="68">
        <v>44</v>
      </c>
      <c r="AA10" s="74">
        <f>SUM(Y10:Z10)</f>
        <v>116</v>
      </c>
      <c r="AB10" s="73">
        <v>83</v>
      </c>
      <c r="AC10" s="73">
        <v>56</v>
      </c>
      <c r="AD10" s="74">
        <f t="shared" si="5"/>
        <v>139</v>
      </c>
      <c r="AE10" s="73">
        <v>19</v>
      </c>
      <c r="AF10" s="73">
        <v>16</v>
      </c>
      <c r="AG10" s="74">
        <f t="shared" si="6"/>
        <v>35</v>
      </c>
      <c r="AH10" s="68">
        <v>19</v>
      </c>
      <c r="AI10" s="68">
        <v>21</v>
      </c>
      <c r="AJ10" s="74">
        <f t="shared" si="7"/>
        <v>40</v>
      </c>
      <c r="AK10" s="68">
        <v>22</v>
      </c>
      <c r="AL10" s="68">
        <v>23</v>
      </c>
      <c r="AM10" s="74">
        <f t="shared" si="8"/>
        <v>45</v>
      </c>
      <c r="AN10" s="73">
        <v>37</v>
      </c>
      <c r="AO10" s="74">
        <f t="shared" si="9"/>
        <v>37</v>
      </c>
      <c r="AP10" s="82">
        <v>47</v>
      </c>
      <c r="AQ10" s="74">
        <f t="shared" si="10"/>
        <v>1069</v>
      </c>
      <c r="AR10" s="41" t="s">
        <v>556</v>
      </c>
      <c r="AS10" s="42"/>
    </row>
    <row r="11" spans="1:45" ht="102.75" customHeight="1" x14ac:dyDescent="0.25">
      <c r="A11" s="44">
        <v>4</v>
      </c>
      <c r="B11" s="130">
        <v>180090105004</v>
      </c>
      <c r="C11" s="70">
        <v>180000100174</v>
      </c>
      <c r="D11" s="132" t="s">
        <v>255</v>
      </c>
      <c r="E11" s="46" t="s">
        <v>256</v>
      </c>
      <c r="F11" s="47"/>
      <c r="G11" s="73">
        <v>70</v>
      </c>
      <c r="H11" s="73">
        <v>59</v>
      </c>
      <c r="I11" s="74">
        <f t="shared" si="0"/>
        <v>129</v>
      </c>
      <c r="J11" s="73">
        <v>62</v>
      </c>
      <c r="K11" s="73">
        <v>60</v>
      </c>
      <c r="L11" s="74">
        <f t="shared" si="1"/>
        <v>122</v>
      </c>
      <c r="M11" s="73">
        <v>78</v>
      </c>
      <c r="N11" s="68">
        <v>67</v>
      </c>
      <c r="O11" s="74">
        <f t="shared" si="2"/>
        <v>145</v>
      </c>
      <c r="P11" s="73">
        <v>90</v>
      </c>
      <c r="Q11" s="73">
        <v>54</v>
      </c>
      <c r="R11" s="74">
        <f>SUM(P11:Q11)</f>
        <v>144</v>
      </c>
      <c r="S11" s="68"/>
      <c r="T11" s="68"/>
      <c r="U11" s="74"/>
      <c r="V11" s="73">
        <v>78</v>
      </c>
      <c r="W11" s="73">
        <v>46</v>
      </c>
      <c r="X11" s="74">
        <f t="shared" si="4"/>
        <v>124</v>
      </c>
      <c r="Y11" s="68"/>
      <c r="Z11" s="68"/>
      <c r="AA11" s="74"/>
      <c r="AB11" s="73">
        <v>78</v>
      </c>
      <c r="AC11" s="73">
        <v>55</v>
      </c>
      <c r="AD11" s="74">
        <f t="shared" si="5"/>
        <v>133</v>
      </c>
      <c r="AE11" s="73">
        <v>16</v>
      </c>
      <c r="AF11" s="73">
        <v>19</v>
      </c>
      <c r="AG11" s="74">
        <f t="shared" si="6"/>
        <v>35</v>
      </c>
      <c r="AH11" s="68">
        <v>17</v>
      </c>
      <c r="AI11" s="68">
        <v>18</v>
      </c>
      <c r="AJ11" s="74">
        <f t="shared" si="7"/>
        <v>35</v>
      </c>
      <c r="AK11" s="68">
        <v>20</v>
      </c>
      <c r="AL11" s="68">
        <v>22</v>
      </c>
      <c r="AM11" s="74">
        <f t="shared" si="8"/>
        <v>42</v>
      </c>
      <c r="AN11" s="73">
        <v>41</v>
      </c>
      <c r="AO11" s="74">
        <f t="shared" si="9"/>
        <v>41</v>
      </c>
      <c r="AP11" s="82">
        <v>50</v>
      </c>
      <c r="AQ11" s="74">
        <f t="shared" si="10"/>
        <v>950</v>
      </c>
      <c r="AR11" s="41" t="s">
        <v>556</v>
      </c>
      <c r="AS11" s="42"/>
    </row>
    <row r="12" spans="1:45" ht="102.75" customHeight="1" x14ac:dyDescent="0.25">
      <c r="A12" s="44">
        <v>5</v>
      </c>
      <c r="B12" s="130">
        <v>180090105005</v>
      </c>
      <c r="C12" s="70">
        <v>180000100175</v>
      </c>
      <c r="D12" s="132" t="s">
        <v>257</v>
      </c>
      <c r="E12" s="46" t="s">
        <v>258</v>
      </c>
      <c r="F12" s="47"/>
      <c r="G12" s="73">
        <v>66</v>
      </c>
      <c r="H12" s="73">
        <v>65</v>
      </c>
      <c r="I12" s="74">
        <f t="shared" si="0"/>
        <v>131</v>
      </c>
      <c r="J12" s="73">
        <v>60</v>
      </c>
      <c r="K12" s="73">
        <v>61</v>
      </c>
      <c r="L12" s="74">
        <f t="shared" si="1"/>
        <v>121</v>
      </c>
      <c r="M12" s="73">
        <v>84</v>
      </c>
      <c r="N12" s="68">
        <v>68</v>
      </c>
      <c r="O12" s="74">
        <f t="shared" si="2"/>
        <v>152</v>
      </c>
      <c r="P12" s="73"/>
      <c r="Q12" s="73"/>
      <c r="R12" s="74"/>
      <c r="S12" s="68">
        <v>112</v>
      </c>
      <c r="T12" s="68">
        <v>61</v>
      </c>
      <c r="U12" s="74">
        <f t="shared" si="3"/>
        <v>173</v>
      </c>
      <c r="V12" s="73"/>
      <c r="W12" s="73"/>
      <c r="X12" s="74"/>
      <c r="Y12" s="68">
        <v>72</v>
      </c>
      <c r="Z12" s="68">
        <v>44</v>
      </c>
      <c r="AA12" s="74">
        <f>SUM(Y12:Z12)</f>
        <v>116</v>
      </c>
      <c r="AB12" s="73">
        <v>84</v>
      </c>
      <c r="AC12" s="73">
        <v>55</v>
      </c>
      <c r="AD12" s="74">
        <f t="shared" si="5"/>
        <v>139</v>
      </c>
      <c r="AE12" s="73">
        <v>19</v>
      </c>
      <c r="AF12" s="73">
        <v>19</v>
      </c>
      <c r="AG12" s="74">
        <f t="shared" si="6"/>
        <v>38</v>
      </c>
      <c r="AH12" s="68">
        <v>22</v>
      </c>
      <c r="AI12" s="68">
        <v>22</v>
      </c>
      <c r="AJ12" s="74">
        <f t="shared" si="7"/>
        <v>44</v>
      </c>
      <c r="AK12" s="68">
        <v>22</v>
      </c>
      <c r="AL12" s="68">
        <v>23</v>
      </c>
      <c r="AM12" s="74">
        <f t="shared" si="8"/>
        <v>45</v>
      </c>
      <c r="AN12" s="73">
        <v>40</v>
      </c>
      <c r="AO12" s="74">
        <f t="shared" si="9"/>
        <v>40</v>
      </c>
      <c r="AP12" s="82">
        <v>44</v>
      </c>
      <c r="AQ12" s="74">
        <f t="shared" si="10"/>
        <v>999</v>
      </c>
      <c r="AR12" s="41" t="s">
        <v>556</v>
      </c>
      <c r="AS12" s="42"/>
    </row>
    <row r="13" spans="1:45" ht="102.75" customHeight="1" x14ac:dyDescent="0.25">
      <c r="A13" s="44">
        <v>6</v>
      </c>
      <c r="B13" s="130">
        <v>180090105006</v>
      </c>
      <c r="C13" s="70">
        <v>180000100176</v>
      </c>
      <c r="D13" s="132" t="s">
        <v>259</v>
      </c>
      <c r="E13" s="46" t="s">
        <v>260</v>
      </c>
      <c r="F13" s="47"/>
      <c r="G13" s="73">
        <v>72</v>
      </c>
      <c r="H13" s="73">
        <v>70</v>
      </c>
      <c r="I13" s="74">
        <f t="shared" si="0"/>
        <v>142</v>
      </c>
      <c r="J13" s="73">
        <v>80</v>
      </c>
      <c r="K13" s="73">
        <v>59</v>
      </c>
      <c r="L13" s="74">
        <f t="shared" si="1"/>
        <v>139</v>
      </c>
      <c r="M13" s="73">
        <v>106</v>
      </c>
      <c r="N13" s="68">
        <v>68</v>
      </c>
      <c r="O13" s="74">
        <f t="shared" si="2"/>
        <v>174</v>
      </c>
      <c r="P13" s="73"/>
      <c r="Q13" s="73"/>
      <c r="R13" s="74"/>
      <c r="S13" s="68">
        <v>118</v>
      </c>
      <c r="T13" s="68">
        <v>66</v>
      </c>
      <c r="U13" s="74">
        <f t="shared" si="3"/>
        <v>184</v>
      </c>
      <c r="V13" s="73">
        <v>78</v>
      </c>
      <c r="W13" s="73">
        <v>50</v>
      </c>
      <c r="X13" s="74">
        <f t="shared" si="4"/>
        <v>128</v>
      </c>
      <c r="Y13" s="68"/>
      <c r="Z13" s="68"/>
      <c r="AA13" s="74"/>
      <c r="AB13" s="73">
        <v>83</v>
      </c>
      <c r="AC13" s="73">
        <v>54</v>
      </c>
      <c r="AD13" s="74">
        <f t="shared" si="5"/>
        <v>137</v>
      </c>
      <c r="AE13" s="73">
        <v>17</v>
      </c>
      <c r="AF13" s="73">
        <v>20</v>
      </c>
      <c r="AG13" s="74">
        <f t="shared" si="6"/>
        <v>37</v>
      </c>
      <c r="AH13" s="68">
        <v>21</v>
      </c>
      <c r="AI13" s="68">
        <v>20</v>
      </c>
      <c r="AJ13" s="74">
        <f t="shared" si="7"/>
        <v>41</v>
      </c>
      <c r="AK13" s="68">
        <v>22</v>
      </c>
      <c r="AL13" s="68">
        <v>22</v>
      </c>
      <c r="AM13" s="74">
        <f t="shared" si="8"/>
        <v>44</v>
      </c>
      <c r="AN13" s="73">
        <v>36</v>
      </c>
      <c r="AO13" s="74">
        <f t="shared" si="9"/>
        <v>36</v>
      </c>
      <c r="AP13" s="82">
        <v>44</v>
      </c>
      <c r="AQ13" s="74">
        <f t="shared" si="10"/>
        <v>1062</v>
      </c>
      <c r="AR13" s="41" t="s">
        <v>556</v>
      </c>
      <c r="AS13" s="42"/>
    </row>
    <row r="14" spans="1:45" ht="102.75" customHeight="1" x14ac:dyDescent="0.25">
      <c r="A14" s="44">
        <v>7</v>
      </c>
      <c r="B14" s="130">
        <v>180090105007</v>
      </c>
      <c r="C14" s="70">
        <v>180000100177</v>
      </c>
      <c r="D14" s="132" t="s">
        <v>261</v>
      </c>
      <c r="E14" s="46" t="s">
        <v>262</v>
      </c>
      <c r="F14" s="47"/>
      <c r="G14" s="73">
        <v>84</v>
      </c>
      <c r="H14" s="73">
        <v>59</v>
      </c>
      <c r="I14" s="74">
        <f t="shared" si="0"/>
        <v>143</v>
      </c>
      <c r="J14" s="73">
        <v>76</v>
      </c>
      <c r="K14" s="73">
        <v>60</v>
      </c>
      <c r="L14" s="74">
        <f t="shared" si="1"/>
        <v>136</v>
      </c>
      <c r="M14" s="73">
        <v>88</v>
      </c>
      <c r="N14" s="68">
        <v>70</v>
      </c>
      <c r="O14" s="74">
        <f t="shared" si="2"/>
        <v>158</v>
      </c>
      <c r="P14" s="73">
        <v>96</v>
      </c>
      <c r="Q14" s="73">
        <v>49</v>
      </c>
      <c r="R14" s="74">
        <f>SUM(P14:Q14)</f>
        <v>145</v>
      </c>
      <c r="S14" s="68"/>
      <c r="T14" s="68"/>
      <c r="U14" s="74"/>
      <c r="V14" s="73"/>
      <c r="W14" s="73"/>
      <c r="X14" s="74"/>
      <c r="Y14" s="68">
        <v>78</v>
      </c>
      <c r="Z14" s="68">
        <v>46</v>
      </c>
      <c r="AA14" s="74">
        <f>SUM(Y14:Z14)</f>
        <v>124</v>
      </c>
      <c r="AB14" s="73">
        <v>80</v>
      </c>
      <c r="AC14" s="73">
        <v>57</v>
      </c>
      <c r="AD14" s="74">
        <f t="shared" si="5"/>
        <v>137</v>
      </c>
      <c r="AE14" s="73">
        <v>19</v>
      </c>
      <c r="AF14" s="73">
        <v>17</v>
      </c>
      <c r="AG14" s="74">
        <f t="shared" si="6"/>
        <v>36</v>
      </c>
      <c r="AH14" s="68">
        <v>18</v>
      </c>
      <c r="AI14" s="68">
        <v>21</v>
      </c>
      <c r="AJ14" s="74">
        <f t="shared" si="7"/>
        <v>39</v>
      </c>
      <c r="AK14" s="68">
        <v>20</v>
      </c>
      <c r="AL14" s="68">
        <v>22</v>
      </c>
      <c r="AM14" s="74">
        <f t="shared" si="8"/>
        <v>42</v>
      </c>
      <c r="AN14" s="73">
        <v>36</v>
      </c>
      <c r="AO14" s="74">
        <f t="shared" si="9"/>
        <v>36</v>
      </c>
      <c r="AP14" s="82">
        <v>45</v>
      </c>
      <c r="AQ14" s="74">
        <f t="shared" si="10"/>
        <v>996</v>
      </c>
      <c r="AR14" s="41" t="s">
        <v>556</v>
      </c>
      <c r="AS14" s="42"/>
    </row>
    <row r="15" spans="1:45" ht="102.75" customHeight="1" x14ac:dyDescent="0.25">
      <c r="A15" s="44">
        <v>8</v>
      </c>
      <c r="B15" s="130">
        <v>180090105008</v>
      </c>
      <c r="C15" s="70">
        <v>180000100178</v>
      </c>
      <c r="D15" s="132" t="s">
        <v>263</v>
      </c>
      <c r="E15" s="48" t="s">
        <v>264</v>
      </c>
      <c r="F15" s="47"/>
      <c r="G15" s="73">
        <v>80</v>
      </c>
      <c r="H15" s="73">
        <v>66</v>
      </c>
      <c r="I15" s="74">
        <f t="shared" si="0"/>
        <v>146</v>
      </c>
      <c r="J15" s="73">
        <v>78</v>
      </c>
      <c r="K15" s="73">
        <v>57</v>
      </c>
      <c r="L15" s="74">
        <f t="shared" si="1"/>
        <v>135</v>
      </c>
      <c r="M15" s="73">
        <v>92</v>
      </c>
      <c r="N15" s="68">
        <v>69</v>
      </c>
      <c r="O15" s="74">
        <f t="shared" si="2"/>
        <v>161</v>
      </c>
      <c r="P15" s="73"/>
      <c r="Q15" s="73"/>
      <c r="R15" s="74"/>
      <c r="S15" s="68">
        <v>112</v>
      </c>
      <c r="T15" s="68">
        <v>40</v>
      </c>
      <c r="U15" s="74">
        <f t="shared" si="3"/>
        <v>152</v>
      </c>
      <c r="V15" s="73"/>
      <c r="W15" s="73"/>
      <c r="X15" s="74"/>
      <c r="Y15" s="68">
        <v>78</v>
      </c>
      <c r="Z15" s="68">
        <v>44</v>
      </c>
      <c r="AA15" s="74">
        <f>SUM(Y15:Z15)</f>
        <v>122</v>
      </c>
      <c r="AB15" s="73">
        <v>83</v>
      </c>
      <c r="AC15" s="73">
        <v>52</v>
      </c>
      <c r="AD15" s="74">
        <f t="shared" si="5"/>
        <v>135</v>
      </c>
      <c r="AE15" s="73">
        <v>16</v>
      </c>
      <c r="AF15" s="73">
        <v>19</v>
      </c>
      <c r="AG15" s="74">
        <f t="shared" si="6"/>
        <v>35</v>
      </c>
      <c r="AH15" s="68">
        <v>15</v>
      </c>
      <c r="AI15" s="68">
        <v>19</v>
      </c>
      <c r="AJ15" s="74">
        <f t="shared" si="7"/>
        <v>34</v>
      </c>
      <c r="AK15" s="68">
        <v>17</v>
      </c>
      <c r="AL15" s="68">
        <v>21</v>
      </c>
      <c r="AM15" s="74">
        <f t="shared" si="8"/>
        <v>38</v>
      </c>
      <c r="AN15" s="73">
        <v>39</v>
      </c>
      <c r="AO15" s="74">
        <f t="shared" si="9"/>
        <v>39</v>
      </c>
      <c r="AP15" s="82">
        <v>47</v>
      </c>
      <c r="AQ15" s="74">
        <f t="shared" si="10"/>
        <v>997</v>
      </c>
      <c r="AR15" s="41" t="s">
        <v>556</v>
      </c>
      <c r="AS15" s="42"/>
    </row>
    <row r="16" spans="1:45" ht="102.75" customHeight="1" x14ac:dyDescent="0.25">
      <c r="A16" s="44">
        <v>9</v>
      </c>
      <c r="B16" s="130">
        <v>180090105009</v>
      </c>
      <c r="C16" s="70">
        <v>180000100179</v>
      </c>
      <c r="D16" s="132" t="s">
        <v>265</v>
      </c>
      <c r="E16" s="46" t="s">
        <v>266</v>
      </c>
      <c r="F16" s="47"/>
      <c r="G16" s="73">
        <v>76</v>
      </c>
      <c r="H16" s="73">
        <v>71</v>
      </c>
      <c r="I16" s="74">
        <f t="shared" si="0"/>
        <v>147</v>
      </c>
      <c r="J16" s="73">
        <v>86</v>
      </c>
      <c r="K16" s="73">
        <v>60</v>
      </c>
      <c r="L16" s="74">
        <f t="shared" si="1"/>
        <v>146</v>
      </c>
      <c r="M16" s="73">
        <v>94</v>
      </c>
      <c r="N16" s="68">
        <v>70</v>
      </c>
      <c r="O16" s="74">
        <f t="shared" si="2"/>
        <v>164</v>
      </c>
      <c r="P16" s="73">
        <v>86</v>
      </c>
      <c r="Q16" s="73">
        <v>55</v>
      </c>
      <c r="R16" s="74">
        <f>SUM(P16:Q16)</f>
        <v>141</v>
      </c>
      <c r="S16" s="68"/>
      <c r="T16" s="68"/>
      <c r="U16" s="74"/>
      <c r="V16" s="73"/>
      <c r="W16" s="73"/>
      <c r="X16" s="74"/>
      <c r="Y16" s="68">
        <v>72</v>
      </c>
      <c r="Z16" s="68">
        <v>50</v>
      </c>
      <c r="AA16" s="74">
        <f>SUM(Y16:Z16)</f>
        <v>122</v>
      </c>
      <c r="AB16" s="73">
        <v>84</v>
      </c>
      <c r="AC16" s="73">
        <v>54</v>
      </c>
      <c r="AD16" s="74">
        <f t="shared" si="5"/>
        <v>138</v>
      </c>
      <c r="AE16" s="73">
        <v>24</v>
      </c>
      <c r="AF16" s="73">
        <v>17</v>
      </c>
      <c r="AG16" s="74">
        <f t="shared" si="6"/>
        <v>41</v>
      </c>
      <c r="AH16" s="68">
        <v>20</v>
      </c>
      <c r="AI16" s="68">
        <v>22</v>
      </c>
      <c r="AJ16" s="74">
        <f t="shared" si="7"/>
        <v>42</v>
      </c>
      <c r="AK16" s="68">
        <v>23</v>
      </c>
      <c r="AL16" s="68">
        <v>23</v>
      </c>
      <c r="AM16" s="74">
        <f t="shared" si="8"/>
        <v>46</v>
      </c>
      <c r="AN16" s="73">
        <v>39</v>
      </c>
      <c r="AO16" s="74">
        <f t="shared" si="9"/>
        <v>39</v>
      </c>
      <c r="AP16" s="82">
        <v>47</v>
      </c>
      <c r="AQ16" s="74">
        <f t="shared" si="10"/>
        <v>1026</v>
      </c>
      <c r="AR16" s="41" t="s">
        <v>556</v>
      </c>
      <c r="AS16" s="42"/>
    </row>
    <row r="17" spans="1:45" ht="102.75" customHeight="1" x14ac:dyDescent="0.25">
      <c r="A17" s="44">
        <v>10</v>
      </c>
      <c r="B17" s="130">
        <v>180090105010</v>
      </c>
      <c r="C17" s="70">
        <v>180000100180</v>
      </c>
      <c r="D17" s="132" t="s">
        <v>267</v>
      </c>
      <c r="E17" s="46" t="s">
        <v>268</v>
      </c>
      <c r="F17" s="47"/>
      <c r="G17" s="73">
        <v>78</v>
      </c>
      <c r="H17" s="73">
        <v>57</v>
      </c>
      <c r="I17" s="74">
        <f t="shared" si="0"/>
        <v>135</v>
      </c>
      <c r="J17" s="73">
        <v>90</v>
      </c>
      <c r="K17" s="73">
        <v>57</v>
      </c>
      <c r="L17" s="74">
        <f t="shared" si="1"/>
        <v>147</v>
      </c>
      <c r="M17" s="73">
        <v>82</v>
      </c>
      <c r="N17" s="68">
        <v>68</v>
      </c>
      <c r="O17" s="74">
        <f t="shared" si="2"/>
        <v>150</v>
      </c>
      <c r="P17" s="73">
        <v>90</v>
      </c>
      <c r="Q17" s="73">
        <v>52</v>
      </c>
      <c r="R17" s="74">
        <f>SUM(P17:Q17)</f>
        <v>142</v>
      </c>
      <c r="S17" s="68"/>
      <c r="T17" s="68"/>
      <c r="U17" s="74"/>
      <c r="V17" s="73"/>
      <c r="W17" s="73"/>
      <c r="X17" s="74"/>
      <c r="Y17" s="68">
        <v>77</v>
      </c>
      <c r="Z17" s="68">
        <v>44</v>
      </c>
      <c r="AA17" s="74">
        <f>SUM(Y17:Z17)</f>
        <v>121</v>
      </c>
      <c r="AB17" s="73">
        <v>80</v>
      </c>
      <c r="AC17" s="73">
        <v>53</v>
      </c>
      <c r="AD17" s="74">
        <f t="shared" si="5"/>
        <v>133</v>
      </c>
      <c r="AE17" s="73">
        <v>16</v>
      </c>
      <c r="AF17" s="73">
        <v>17</v>
      </c>
      <c r="AG17" s="74">
        <f t="shared" si="6"/>
        <v>33</v>
      </c>
      <c r="AH17" s="68">
        <v>14</v>
      </c>
      <c r="AI17" s="68">
        <v>21</v>
      </c>
      <c r="AJ17" s="74">
        <f t="shared" si="7"/>
        <v>35</v>
      </c>
      <c r="AK17" s="68">
        <v>19</v>
      </c>
      <c r="AL17" s="68">
        <v>21</v>
      </c>
      <c r="AM17" s="74">
        <f t="shared" si="8"/>
        <v>40</v>
      </c>
      <c r="AN17" s="73">
        <v>38</v>
      </c>
      <c r="AO17" s="74">
        <f t="shared" si="9"/>
        <v>38</v>
      </c>
      <c r="AP17" s="82">
        <v>50</v>
      </c>
      <c r="AQ17" s="74">
        <f t="shared" si="10"/>
        <v>974</v>
      </c>
      <c r="AR17" s="41" t="s">
        <v>556</v>
      </c>
      <c r="AS17" s="42"/>
    </row>
    <row r="18" spans="1:45" ht="102.75" customHeight="1" x14ac:dyDescent="0.25">
      <c r="A18" s="44">
        <v>11</v>
      </c>
      <c r="B18" s="130">
        <v>180090105011</v>
      </c>
      <c r="C18" s="70">
        <v>180000100181</v>
      </c>
      <c r="D18" s="132" t="s">
        <v>269</v>
      </c>
      <c r="E18" s="46" t="s">
        <v>270</v>
      </c>
      <c r="F18" s="47"/>
      <c r="G18" s="73">
        <v>74</v>
      </c>
      <c r="H18" s="73">
        <v>60</v>
      </c>
      <c r="I18" s="74">
        <f t="shared" si="0"/>
        <v>134</v>
      </c>
      <c r="J18" s="73">
        <v>82</v>
      </c>
      <c r="K18" s="73">
        <v>53</v>
      </c>
      <c r="L18" s="74">
        <f t="shared" si="1"/>
        <v>135</v>
      </c>
      <c r="M18" s="73">
        <v>108</v>
      </c>
      <c r="N18" s="68">
        <v>66</v>
      </c>
      <c r="O18" s="74">
        <f t="shared" si="2"/>
        <v>174</v>
      </c>
      <c r="P18" s="73">
        <v>96</v>
      </c>
      <c r="Q18" s="73">
        <v>53</v>
      </c>
      <c r="R18" s="74">
        <f>SUM(P18:Q18)</f>
        <v>149</v>
      </c>
      <c r="S18" s="68"/>
      <c r="T18" s="68"/>
      <c r="U18" s="74"/>
      <c r="V18" s="73">
        <v>69</v>
      </c>
      <c r="W18" s="73">
        <v>47</v>
      </c>
      <c r="X18" s="74">
        <f t="shared" si="4"/>
        <v>116</v>
      </c>
      <c r="Y18" s="68"/>
      <c r="Z18" s="68"/>
      <c r="AA18" s="74"/>
      <c r="AB18" s="73">
        <v>78</v>
      </c>
      <c r="AC18" s="73">
        <v>49</v>
      </c>
      <c r="AD18" s="74">
        <f t="shared" si="5"/>
        <v>127</v>
      </c>
      <c r="AE18" s="73">
        <v>20</v>
      </c>
      <c r="AF18" s="73">
        <v>21</v>
      </c>
      <c r="AG18" s="74">
        <f t="shared" si="6"/>
        <v>41</v>
      </c>
      <c r="AH18" s="68">
        <v>16</v>
      </c>
      <c r="AI18" s="68">
        <v>20</v>
      </c>
      <c r="AJ18" s="74">
        <f t="shared" si="7"/>
        <v>36</v>
      </c>
      <c r="AK18" s="68">
        <v>20</v>
      </c>
      <c r="AL18" s="68">
        <v>22</v>
      </c>
      <c r="AM18" s="74">
        <f t="shared" si="8"/>
        <v>42</v>
      </c>
      <c r="AN18" s="73">
        <v>38</v>
      </c>
      <c r="AO18" s="74">
        <f t="shared" si="9"/>
        <v>38</v>
      </c>
      <c r="AP18" s="82">
        <v>45</v>
      </c>
      <c r="AQ18" s="74">
        <f t="shared" si="10"/>
        <v>992</v>
      </c>
      <c r="AR18" s="41" t="s">
        <v>556</v>
      </c>
      <c r="AS18" s="42"/>
    </row>
    <row r="19" spans="1:45" ht="102.75" customHeight="1" x14ac:dyDescent="0.25">
      <c r="A19" s="44">
        <v>12</v>
      </c>
      <c r="B19" s="130">
        <v>180090105012</v>
      </c>
      <c r="C19" s="70">
        <v>180000100182</v>
      </c>
      <c r="D19" s="132" t="s">
        <v>271</v>
      </c>
      <c r="E19" s="46" t="s">
        <v>272</v>
      </c>
      <c r="F19" s="47"/>
      <c r="G19" s="73">
        <v>84</v>
      </c>
      <c r="H19" s="73">
        <v>60</v>
      </c>
      <c r="I19" s="74">
        <f t="shared" si="0"/>
        <v>144</v>
      </c>
      <c r="J19" s="73">
        <v>74</v>
      </c>
      <c r="K19" s="73">
        <v>52</v>
      </c>
      <c r="L19" s="74">
        <f t="shared" si="1"/>
        <v>126</v>
      </c>
      <c r="M19" s="73">
        <v>84</v>
      </c>
      <c r="N19" s="68">
        <v>61</v>
      </c>
      <c r="O19" s="74">
        <f t="shared" si="2"/>
        <v>145</v>
      </c>
      <c r="P19" s="73"/>
      <c r="Q19" s="73"/>
      <c r="R19" s="74"/>
      <c r="S19" s="68">
        <v>94</v>
      </c>
      <c r="T19" s="68">
        <v>37</v>
      </c>
      <c r="U19" s="74">
        <f t="shared" si="3"/>
        <v>131</v>
      </c>
      <c r="V19" s="73"/>
      <c r="W19" s="73"/>
      <c r="X19" s="74"/>
      <c r="Y19" s="68">
        <v>53</v>
      </c>
      <c r="Z19" s="68">
        <v>41</v>
      </c>
      <c r="AA19" s="74">
        <f>SUM(Y19:Z19)</f>
        <v>94</v>
      </c>
      <c r="AB19" s="73">
        <v>71</v>
      </c>
      <c r="AC19" s="73">
        <v>47</v>
      </c>
      <c r="AD19" s="74">
        <f t="shared" si="5"/>
        <v>118</v>
      </c>
      <c r="AE19" s="73">
        <v>18</v>
      </c>
      <c r="AF19" s="73">
        <v>16</v>
      </c>
      <c r="AG19" s="74">
        <f t="shared" si="6"/>
        <v>34</v>
      </c>
      <c r="AH19" s="68">
        <v>17</v>
      </c>
      <c r="AI19" s="68">
        <v>21</v>
      </c>
      <c r="AJ19" s="74">
        <f t="shared" si="7"/>
        <v>38</v>
      </c>
      <c r="AK19" s="68">
        <v>17</v>
      </c>
      <c r="AL19" s="68">
        <v>23</v>
      </c>
      <c r="AM19" s="74">
        <f t="shared" si="8"/>
        <v>40</v>
      </c>
      <c r="AN19" s="73">
        <v>38</v>
      </c>
      <c r="AO19" s="74">
        <f t="shared" si="9"/>
        <v>38</v>
      </c>
      <c r="AP19" s="82">
        <v>45</v>
      </c>
      <c r="AQ19" s="74">
        <f t="shared" si="10"/>
        <v>908</v>
      </c>
      <c r="AR19" s="41" t="s">
        <v>556</v>
      </c>
      <c r="AS19" s="42"/>
    </row>
    <row r="20" spans="1:45" ht="102.75" customHeight="1" x14ac:dyDescent="0.25">
      <c r="A20" s="44">
        <v>13</v>
      </c>
      <c r="B20" s="130">
        <v>180090105013</v>
      </c>
      <c r="C20" s="70">
        <v>180000100183</v>
      </c>
      <c r="D20" s="132" t="s">
        <v>273</v>
      </c>
      <c r="E20" s="46" t="s">
        <v>274</v>
      </c>
      <c r="F20" s="47"/>
      <c r="G20" s="73">
        <v>76</v>
      </c>
      <c r="H20" s="73">
        <v>69</v>
      </c>
      <c r="I20" s="74">
        <f t="shared" si="0"/>
        <v>145</v>
      </c>
      <c r="J20" s="73">
        <v>78</v>
      </c>
      <c r="K20" s="73">
        <v>59</v>
      </c>
      <c r="L20" s="74">
        <f t="shared" si="1"/>
        <v>137</v>
      </c>
      <c r="M20" s="73">
        <v>98</v>
      </c>
      <c r="N20" s="68">
        <v>70</v>
      </c>
      <c r="O20" s="74">
        <f t="shared" si="2"/>
        <v>168</v>
      </c>
      <c r="P20" s="73"/>
      <c r="Q20" s="73"/>
      <c r="R20" s="74"/>
      <c r="S20" s="68">
        <v>112</v>
      </c>
      <c r="T20" s="68">
        <v>59</v>
      </c>
      <c r="U20" s="74">
        <f t="shared" si="3"/>
        <v>171</v>
      </c>
      <c r="V20" s="73">
        <v>77</v>
      </c>
      <c r="W20" s="73">
        <v>53</v>
      </c>
      <c r="X20" s="74">
        <f t="shared" si="4"/>
        <v>130</v>
      </c>
      <c r="Y20" s="68"/>
      <c r="Z20" s="68"/>
      <c r="AA20" s="74"/>
      <c r="AB20" s="73">
        <v>78</v>
      </c>
      <c r="AC20" s="73">
        <v>56</v>
      </c>
      <c r="AD20" s="74">
        <f t="shared" si="5"/>
        <v>134</v>
      </c>
      <c r="AE20" s="73">
        <v>21</v>
      </c>
      <c r="AF20" s="73">
        <v>17</v>
      </c>
      <c r="AG20" s="74">
        <f t="shared" si="6"/>
        <v>38</v>
      </c>
      <c r="AH20" s="68">
        <v>20</v>
      </c>
      <c r="AI20" s="68">
        <v>21</v>
      </c>
      <c r="AJ20" s="74">
        <f t="shared" si="7"/>
        <v>41</v>
      </c>
      <c r="AK20" s="68">
        <v>19</v>
      </c>
      <c r="AL20" s="68">
        <v>22</v>
      </c>
      <c r="AM20" s="74">
        <f t="shared" si="8"/>
        <v>41</v>
      </c>
      <c r="AN20" s="73">
        <v>41</v>
      </c>
      <c r="AO20" s="74">
        <f t="shared" si="9"/>
        <v>41</v>
      </c>
      <c r="AP20" s="82">
        <v>50</v>
      </c>
      <c r="AQ20" s="74">
        <f t="shared" si="10"/>
        <v>1046</v>
      </c>
      <c r="AR20" s="41" t="s">
        <v>556</v>
      </c>
      <c r="AS20" s="42"/>
    </row>
    <row r="21" spans="1:45" ht="102.75" customHeight="1" x14ac:dyDescent="0.25">
      <c r="A21" s="44">
        <v>14</v>
      </c>
      <c r="B21" s="130">
        <v>180090105014</v>
      </c>
      <c r="C21" s="70">
        <v>180000100184</v>
      </c>
      <c r="D21" s="133" t="s">
        <v>275</v>
      </c>
      <c r="E21" s="46" t="s">
        <v>276</v>
      </c>
      <c r="F21" s="47"/>
      <c r="G21" s="73">
        <v>82</v>
      </c>
      <c r="H21" s="73">
        <v>65</v>
      </c>
      <c r="I21" s="74">
        <f t="shared" si="0"/>
        <v>147</v>
      </c>
      <c r="J21" s="73">
        <v>86</v>
      </c>
      <c r="K21" s="73">
        <v>56</v>
      </c>
      <c r="L21" s="74">
        <f t="shared" si="1"/>
        <v>142</v>
      </c>
      <c r="M21" s="73">
        <v>106</v>
      </c>
      <c r="N21" s="68">
        <v>68</v>
      </c>
      <c r="O21" s="74">
        <f t="shared" si="2"/>
        <v>174</v>
      </c>
      <c r="P21" s="73">
        <v>92</v>
      </c>
      <c r="Q21" s="73">
        <v>55</v>
      </c>
      <c r="R21" s="74">
        <f>SUM(P21:Q21)</f>
        <v>147</v>
      </c>
      <c r="S21" s="68"/>
      <c r="T21" s="68"/>
      <c r="U21" s="74"/>
      <c r="V21" s="73"/>
      <c r="W21" s="73"/>
      <c r="X21" s="74"/>
      <c r="Y21" s="68">
        <v>78</v>
      </c>
      <c r="Z21" s="68">
        <v>50</v>
      </c>
      <c r="AA21" s="74">
        <f>SUM(Y21:Z21)</f>
        <v>128</v>
      </c>
      <c r="AB21" s="73">
        <v>86</v>
      </c>
      <c r="AC21" s="73">
        <v>55</v>
      </c>
      <c r="AD21" s="74">
        <f t="shared" si="5"/>
        <v>141</v>
      </c>
      <c r="AE21" s="73">
        <v>22</v>
      </c>
      <c r="AF21" s="73">
        <v>17</v>
      </c>
      <c r="AG21" s="74">
        <f t="shared" si="6"/>
        <v>39</v>
      </c>
      <c r="AH21" s="68">
        <v>15</v>
      </c>
      <c r="AI21" s="68">
        <v>21</v>
      </c>
      <c r="AJ21" s="74">
        <f t="shared" si="7"/>
        <v>36</v>
      </c>
      <c r="AK21" s="68">
        <v>22</v>
      </c>
      <c r="AL21" s="68">
        <v>23</v>
      </c>
      <c r="AM21" s="74">
        <f t="shared" si="8"/>
        <v>45</v>
      </c>
      <c r="AN21" s="73">
        <v>39</v>
      </c>
      <c r="AO21" s="74">
        <f t="shared" si="9"/>
        <v>39</v>
      </c>
      <c r="AP21" s="82">
        <v>50</v>
      </c>
      <c r="AQ21" s="74">
        <f t="shared" si="10"/>
        <v>1038</v>
      </c>
      <c r="AR21" s="41" t="s">
        <v>556</v>
      </c>
      <c r="AS21" s="42"/>
    </row>
    <row r="22" spans="1:45" ht="102.75" customHeight="1" x14ac:dyDescent="0.25">
      <c r="A22" s="44">
        <v>15</v>
      </c>
      <c r="B22" s="130">
        <v>180090105015</v>
      </c>
      <c r="C22" s="70">
        <v>180000100185</v>
      </c>
      <c r="D22" s="132" t="s">
        <v>39</v>
      </c>
      <c r="E22" s="46" t="s">
        <v>277</v>
      </c>
      <c r="F22" s="47"/>
      <c r="G22" s="73">
        <v>72</v>
      </c>
      <c r="H22" s="73">
        <v>68</v>
      </c>
      <c r="I22" s="74">
        <f t="shared" si="0"/>
        <v>140</v>
      </c>
      <c r="J22" s="73">
        <v>78</v>
      </c>
      <c r="K22" s="73">
        <v>58</v>
      </c>
      <c r="L22" s="74">
        <f t="shared" si="1"/>
        <v>136</v>
      </c>
      <c r="M22" s="73">
        <v>68</v>
      </c>
      <c r="N22" s="68">
        <v>64</v>
      </c>
      <c r="O22" s="74">
        <f t="shared" si="2"/>
        <v>132</v>
      </c>
      <c r="P22" s="73">
        <v>88</v>
      </c>
      <c r="Q22" s="73">
        <v>53</v>
      </c>
      <c r="R22" s="74">
        <f>SUM(P22:Q22)</f>
        <v>141</v>
      </c>
      <c r="S22" s="68"/>
      <c r="T22" s="68"/>
      <c r="U22" s="74"/>
      <c r="V22" s="73"/>
      <c r="W22" s="73"/>
      <c r="X22" s="74"/>
      <c r="Y22" s="68">
        <v>65</v>
      </c>
      <c r="Z22" s="68">
        <v>46</v>
      </c>
      <c r="AA22" s="74">
        <f>SUM(Y22:Z22)</f>
        <v>111</v>
      </c>
      <c r="AB22" s="73">
        <v>80</v>
      </c>
      <c r="AC22" s="73">
        <v>50</v>
      </c>
      <c r="AD22" s="74">
        <f t="shared" si="5"/>
        <v>130</v>
      </c>
      <c r="AE22" s="73">
        <v>21</v>
      </c>
      <c r="AF22" s="73">
        <v>19</v>
      </c>
      <c r="AG22" s="74">
        <f t="shared" si="6"/>
        <v>40</v>
      </c>
      <c r="AH22" s="68">
        <v>21</v>
      </c>
      <c r="AI22" s="68">
        <v>20</v>
      </c>
      <c r="AJ22" s="74">
        <f t="shared" si="7"/>
        <v>41</v>
      </c>
      <c r="AK22" s="68">
        <v>22</v>
      </c>
      <c r="AL22" s="68">
        <v>22</v>
      </c>
      <c r="AM22" s="74">
        <f t="shared" si="8"/>
        <v>44</v>
      </c>
      <c r="AN22" s="73">
        <v>39</v>
      </c>
      <c r="AO22" s="74">
        <f t="shared" si="9"/>
        <v>39</v>
      </c>
      <c r="AP22" s="82">
        <v>45</v>
      </c>
      <c r="AQ22" s="74">
        <f t="shared" si="10"/>
        <v>954</v>
      </c>
      <c r="AR22" s="41" t="s">
        <v>556</v>
      </c>
      <c r="AS22" s="42"/>
    </row>
    <row r="23" spans="1:45" ht="102.75" customHeight="1" x14ac:dyDescent="0.25">
      <c r="A23" s="44">
        <v>16</v>
      </c>
      <c r="B23" s="130">
        <v>180090105016</v>
      </c>
      <c r="C23" s="70">
        <v>180000100186</v>
      </c>
      <c r="D23" s="132" t="s">
        <v>278</v>
      </c>
      <c r="E23" s="46" t="s">
        <v>279</v>
      </c>
      <c r="F23" s="47"/>
      <c r="G23" s="73">
        <v>76</v>
      </c>
      <c r="H23" s="73">
        <v>67</v>
      </c>
      <c r="I23" s="74">
        <f t="shared" si="0"/>
        <v>143</v>
      </c>
      <c r="J23" s="73">
        <v>62</v>
      </c>
      <c r="K23" s="73">
        <v>60</v>
      </c>
      <c r="L23" s="74">
        <f t="shared" si="1"/>
        <v>122</v>
      </c>
      <c r="M23" s="73">
        <v>84</v>
      </c>
      <c r="N23" s="68">
        <v>65</v>
      </c>
      <c r="O23" s="74">
        <f t="shared" si="2"/>
        <v>149</v>
      </c>
      <c r="P23" s="73"/>
      <c r="Q23" s="73"/>
      <c r="R23" s="74"/>
      <c r="S23" s="68">
        <v>106</v>
      </c>
      <c r="T23" s="68">
        <v>57</v>
      </c>
      <c r="U23" s="74">
        <f t="shared" si="3"/>
        <v>163</v>
      </c>
      <c r="V23" s="73">
        <v>71</v>
      </c>
      <c r="W23" s="73">
        <v>54</v>
      </c>
      <c r="X23" s="74">
        <f t="shared" si="4"/>
        <v>125</v>
      </c>
      <c r="Y23" s="68"/>
      <c r="Z23" s="68"/>
      <c r="AA23" s="74"/>
      <c r="AB23" s="73">
        <v>77</v>
      </c>
      <c r="AC23" s="73">
        <v>54</v>
      </c>
      <c r="AD23" s="74">
        <f t="shared" si="5"/>
        <v>131</v>
      </c>
      <c r="AE23" s="73">
        <v>18</v>
      </c>
      <c r="AF23" s="73">
        <v>19</v>
      </c>
      <c r="AG23" s="74">
        <f t="shared" si="6"/>
        <v>37</v>
      </c>
      <c r="AH23" s="68">
        <v>15</v>
      </c>
      <c r="AI23" s="68">
        <v>20</v>
      </c>
      <c r="AJ23" s="74">
        <f t="shared" si="7"/>
        <v>35</v>
      </c>
      <c r="AK23" s="68">
        <v>16</v>
      </c>
      <c r="AL23" s="68">
        <v>22</v>
      </c>
      <c r="AM23" s="74">
        <f t="shared" si="8"/>
        <v>38</v>
      </c>
      <c r="AN23" s="73">
        <v>39</v>
      </c>
      <c r="AO23" s="74">
        <f t="shared" si="9"/>
        <v>39</v>
      </c>
      <c r="AP23" s="82">
        <v>45</v>
      </c>
      <c r="AQ23" s="74">
        <f t="shared" si="10"/>
        <v>982</v>
      </c>
      <c r="AR23" s="41" t="s">
        <v>556</v>
      </c>
      <c r="AS23" s="42"/>
    </row>
    <row r="24" spans="1:45" ht="102.75" customHeight="1" x14ac:dyDescent="0.25">
      <c r="A24" s="44">
        <v>17</v>
      </c>
      <c r="B24" s="130">
        <v>180090105018</v>
      </c>
      <c r="C24" s="70">
        <v>180000100188</v>
      </c>
      <c r="D24" s="132" t="s">
        <v>280</v>
      </c>
      <c r="E24" s="46" t="s">
        <v>281</v>
      </c>
      <c r="F24" s="47"/>
      <c r="G24" s="73">
        <v>78</v>
      </c>
      <c r="H24" s="73">
        <v>66</v>
      </c>
      <c r="I24" s="74">
        <f t="shared" si="0"/>
        <v>144</v>
      </c>
      <c r="J24" s="73">
        <v>74</v>
      </c>
      <c r="K24" s="73">
        <v>57</v>
      </c>
      <c r="L24" s="74">
        <f t="shared" si="1"/>
        <v>131</v>
      </c>
      <c r="M24" s="73">
        <v>74</v>
      </c>
      <c r="N24" s="68">
        <v>64</v>
      </c>
      <c r="O24" s="74">
        <f t="shared" si="2"/>
        <v>138</v>
      </c>
      <c r="P24" s="73">
        <v>80</v>
      </c>
      <c r="Q24" s="73">
        <v>55</v>
      </c>
      <c r="R24" s="74">
        <f>SUM(P24:Q24)</f>
        <v>135</v>
      </c>
      <c r="S24" s="68"/>
      <c r="T24" s="68"/>
      <c r="U24" s="74"/>
      <c r="V24" s="73">
        <v>72</v>
      </c>
      <c r="W24" s="73">
        <v>43</v>
      </c>
      <c r="X24" s="74">
        <f t="shared" si="4"/>
        <v>115</v>
      </c>
      <c r="Y24" s="68"/>
      <c r="Z24" s="68"/>
      <c r="AA24" s="74"/>
      <c r="AB24" s="73">
        <v>69</v>
      </c>
      <c r="AC24" s="73">
        <v>54</v>
      </c>
      <c r="AD24" s="74">
        <f t="shared" si="5"/>
        <v>123</v>
      </c>
      <c r="AE24" s="73">
        <v>24</v>
      </c>
      <c r="AF24" s="73">
        <v>17</v>
      </c>
      <c r="AG24" s="74">
        <f t="shared" si="6"/>
        <v>41</v>
      </c>
      <c r="AH24" s="68">
        <v>20</v>
      </c>
      <c r="AI24" s="68">
        <v>20</v>
      </c>
      <c r="AJ24" s="74">
        <f t="shared" si="7"/>
        <v>40</v>
      </c>
      <c r="AK24" s="68">
        <v>22</v>
      </c>
      <c r="AL24" s="68">
        <v>23</v>
      </c>
      <c r="AM24" s="74">
        <f t="shared" si="8"/>
        <v>45</v>
      </c>
      <c r="AN24" s="73">
        <v>40</v>
      </c>
      <c r="AO24" s="74">
        <f t="shared" si="9"/>
        <v>40</v>
      </c>
      <c r="AP24" s="82">
        <v>50</v>
      </c>
      <c r="AQ24" s="74">
        <f t="shared" si="10"/>
        <v>952</v>
      </c>
      <c r="AR24" s="41" t="s">
        <v>556</v>
      </c>
      <c r="AS24" s="42"/>
    </row>
    <row r="25" spans="1:45" ht="102.75" customHeight="1" x14ac:dyDescent="0.25">
      <c r="A25" s="44">
        <v>18</v>
      </c>
      <c r="B25" s="130">
        <v>180090105019</v>
      </c>
      <c r="C25" s="70">
        <v>180000100189</v>
      </c>
      <c r="D25" s="133" t="s">
        <v>502</v>
      </c>
      <c r="E25" s="46" t="s">
        <v>282</v>
      </c>
      <c r="F25" s="47"/>
      <c r="G25" s="73">
        <v>74</v>
      </c>
      <c r="H25" s="73">
        <v>65</v>
      </c>
      <c r="I25" s="74">
        <f t="shared" si="0"/>
        <v>139</v>
      </c>
      <c r="J25" s="73">
        <v>68</v>
      </c>
      <c r="K25" s="73">
        <v>61</v>
      </c>
      <c r="L25" s="74">
        <f t="shared" si="1"/>
        <v>129</v>
      </c>
      <c r="M25" s="73">
        <v>64</v>
      </c>
      <c r="N25" s="68">
        <v>68</v>
      </c>
      <c r="O25" s="74">
        <f t="shared" si="2"/>
        <v>132</v>
      </c>
      <c r="P25" s="73">
        <v>96</v>
      </c>
      <c r="Q25" s="73">
        <v>53</v>
      </c>
      <c r="R25" s="74">
        <f>SUM(P25:Q25)</f>
        <v>149</v>
      </c>
      <c r="S25" s="68"/>
      <c r="T25" s="68"/>
      <c r="U25" s="74"/>
      <c r="V25" s="73">
        <v>68</v>
      </c>
      <c r="W25" s="73">
        <v>49</v>
      </c>
      <c r="X25" s="74">
        <f t="shared" si="4"/>
        <v>117</v>
      </c>
      <c r="Y25" s="68"/>
      <c r="Z25" s="68"/>
      <c r="AA25" s="74"/>
      <c r="AB25" s="73">
        <v>63</v>
      </c>
      <c r="AC25" s="73">
        <v>55</v>
      </c>
      <c r="AD25" s="74">
        <f t="shared" si="5"/>
        <v>118</v>
      </c>
      <c r="AE25" s="73">
        <v>16</v>
      </c>
      <c r="AF25" s="73">
        <v>19</v>
      </c>
      <c r="AG25" s="74">
        <f t="shared" si="6"/>
        <v>35</v>
      </c>
      <c r="AH25" s="68">
        <v>15</v>
      </c>
      <c r="AI25" s="68">
        <v>19</v>
      </c>
      <c r="AJ25" s="74">
        <f t="shared" si="7"/>
        <v>34</v>
      </c>
      <c r="AK25" s="68">
        <v>21</v>
      </c>
      <c r="AL25" s="68">
        <v>23</v>
      </c>
      <c r="AM25" s="74">
        <f t="shared" si="8"/>
        <v>44</v>
      </c>
      <c r="AN25" s="73">
        <v>39</v>
      </c>
      <c r="AO25" s="74">
        <f t="shared" si="9"/>
        <v>39</v>
      </c>
      <c r="AP25" s="82">
        <v>46</v>
      </c>
      <c r="AQ25" s="74">
        <f t="shared" si="10"/>
        <v>936</v>
      </c>
      <c r="AR25" s="41" t="s">
        <v>556</v>
      </c>
      <c r="AS25" s="42"/>
    </row>
    <row r="26" spans="1:45" ht="102.75" customHeight="1" x14ac:dyDescent="0.25">
      <c r="A26" s="44">
        <v>19</v>
      </c>
      <c r="B26" s="130">
        <v>180090105020</v>
      </c>
      <c r="C26" s="70">
        <v>180000100190</v>
      </c>
      <c r="D26" s="132" t="s">
        <v>283</v>
      </c>
      <c r="E26" s="46" t="s">
        <v>218</v>
      </c>
      <c r="F26" s="47"/>
      <c r="G26" s="73">
        <v>84</v>
      </c>
      <c r="H26" s="73">
        <v>51</v>
      </c>
      <c r="I26" s="74">
        <f t="shared" si="0"/>
        <v>135</v>
      </c>
      <c r="J26" s="73">
        <v>68</v>
      </c>
      <c r="K26" s="73">
        <v>54</v>
      </c>
      <c r="L26" s="74">
        <f t="shared" si="1"/>
        <v>122</v>
      </c>
      <c r="M26" s="73">
        <v>58</v>
      </c>
      <c r="N26" s="68">
        <v>61</v>
      </c>
      <c r="O26" s="74">
        <f t="shared" si="2"/>
        <v>119</v>
      </c>
      <c r="P26" s="73"/>
      <c r="Q26" s="73"/>
      <c r="R26" s="74"/>
      <c r="S26" s="68">
        <v>116</v>
      </c>
      <c r="T26" s="68">
        <v>52</v>
      </c>
      <c r="U26" s="74">
        <f t="shared" si="3"/>
        <v>168</v>
      </c>
      <c r="V26" s="73">
        <v>45</v>
      </c>
      <c r="W26" s="73">
        <v>48</v>
      </c>
      <c r="X26" s="74">
        <f t="shared" si="4"/>
        <v>93</v>
      </c>
      <c r="Y26" s="68"/>
      <c r="Z26" s="68"/>
      <c r="AA26" s="74"/>
      <c r="AB26" s="73">
        <v>78</v>
      </c>
      <c r="AC26" s="73">
        <v>51</v>
      </c>
      <c r="AD26" s="74">
        <f t="shared" si="5"/>
        <v>129</v>
      </c>
      <c r="AE26" s="73">
        <v>13</v>
      </c>
      <c r="AF26" s="73">
        <v>16</v>
      </c>
      <c r="AG26" s="74">
        <f t="shared" si="6"/>
        <v>29</v>
      </c>
      <c r="AH26" s="68">
        <v>15</v>
      </c>
      <c r="AI26" s="68">
        <v>19</v>
      </c>
      <c r="AJ26" s="74">
        <f t="shared" si="7"/>
        <v>34</v>
      </c>
      <c r="AK26" s="68">
        <v>16</v>
      </c>
      <c r="AL26" s="68">
        <v>20</v>
      </c>
      <c r="AM26" s="74">
        <f t="shared" si="8"/>
        <v>36</v>
      </c>
      <c r="AN26" s="73">
        <v>38</v>
      </c>
      <c r="AO26" s="74">
        <f t="shared" si="9"/>
        <v>38</v>
      </c>
      <c r="AP26" s="82">
        <v>46</v>
      </c>
      <c r="AQ26" s="74">
        <f t="shared" si="10"/>
        <v>903</v>
      </c>
      <c r="AR26" s="41" t="s">
        <v>556</v>
      </c>
      <c r="AS26" s="42"/>
    </row>
    <row r="27" spans="1:45" ht="102.75" customHeight="1" x14ac:dyDescent="0.25">
      <c r="A27" s="44">
        <v>20</v>
      </c>
      <c r="B27" s="130">
        <v>180090105021</v>
      </c>
      <c r="C27" s="70">
        <v>180000100191</v>
      </c>
      <c r="D27" s="133" t="s">
        <v>284</v>
      </c>
      <c r="E27" s="46" t="s">
        <v>285</v>
      </c>
      <c r="F27" s="47"/>
      <c r="G27" s="73">
        <v>86</v>
      </c>
      <c r="H27" s="73">
        <v>70</v>
      </c>
      <c r="I27" s="74">
        <f t="shared" si="0"/>
        <v>156</v>
      </c>
      <c r="J27" s="73">
        <v>88</v>
      </c>
      <c r="K27" s="73">
        <v>57</v>
      </c>
      <c r="L27" s="74">
        <f t="shared" si="1"/>
        <v>145</v>
      </c>
      <c r="M27" s="73">
        <v>98</v>
      </c>
      <c r="N27" s="68">
        <v>69</v>
      </c>
      <c r="O27" s="74">
        <f t="shared" si="2"/>
        <v>167</v>
      </c>
      <c r="P27" s="73">
        <v>92</v>
      </c>
      <c r="Q27" s="73">
        <v>54</v>
      </c>
      <c r="R27" s="74">
        <f>SUM(P27:Q27)</f>
        <v>146</v>
      </c>
      <c r="S27" s="68"/>
      <c r="T27" s="114"/>
      <c r="U27" s="74"/>
      <c r="V27" s="73">
        <v>78</v>
      </c>
      <c r="W27" s="73">
        <v>56</v>
      </c>
      <c r="X27" s="74">
        <f t="shared" si="4"/>
        <v>134</v>
      </c>
      <c r="Y27" s="68"/>
      <c r="Z27" s="68"/>
      <c r="AA27" s="74"/>
      <c r="AB27" s="73">
        <v>84</v>
      </c>
      <c r="AC27" s="73">
        <v>53</v>
      </c>
      <c r="AD27" s="74">
        <f t="shared" si="5"/>
        <v>137</v>
      </c>
      <c r="AE27" s="73">
        <v>23</v>
      </c>
      <c r="AF27" s="73">
        <v>21</v>
      </c>
      <c r="AG27" s="74">
        <f t="shared" si="6"/>
        <v>44</v>
      </c>
      <c r="AH27" s="68">
        <v>20</v>
      </c>
      <c r="AI27" s="68">
        <v>20</v>
      </c>
      <c r="AJ27" s="74">
        <f t="shared" si="7"/>
        <v>40</v>
      </c>
      <c r="AK27" s="68">
        <v>23</v>
      </c>
      <c r="AL27" s="68">
        <v>23</v>
      </c>
      <c r="AM27" s="74">
        <f t="shared" si="8"/>
        <v>46</v>
      </c>
      <c r="AN27" s="73">
        <v>38</v>
      </c>
      <c r="AO27" s="74">
        <f t="shared" si="9"/>
        <v>38</v>
      </c>
      <c r="AP27" s="82">
        <v>50</v>
      </c>
      <c r="AQ27" s="74">
        <f t="shared" si="10"/>
        <v>1053</v>
      </c>
      <c r="AR27" s="41" t="s">
        <v>556</v>
      </c>
      <c r="AS27" s="42"/>
    </row>
    <row r="28" spans="1:45" ht="102.75" customHeight="1" x14ac:dyDescent="0.25">
      <c r="A28" s="44">
        <v>21</v>
      </c>
      <c r="B28" s="130">
        <v>180090105022</v>
      </c>
      <c r="C28" s="70">
        <v>180000100192</v>
      </c>
      <c r="D28" s="132" t="s">
        <v>286</v>
      </c>
      <c r="E28" s="46" t="s">
        <v>287</v>
      </c>
      <c r="F28" s="47"/>
      <c r="G28" s="73">
        <v>74</v>
      </c>
      <c r="H28" s="73">
        <v>66</v>
      </c>
      <c r="I28" s="74">
        <f t="shared" si="0"/>
        <v>140</v>
      </c>
      <c r="J28" s="73">
        <v>86</v>
      </c>
      <c r="K28" s="73">
        <v>62</v>
      </c>
      <c r="L28" s="74">
        <f t="shared" si="1"/>
        <v>148</v>
      </c>
      <c r="M28" s="73">
        <v>98</v>
      </c>
      <c r="N28" s="68">
        <v>69</v>
      </c>
      <c r="O28" s="74">
        <f t="shared" si="2"/>
        <v>167</v>
      </c>
      <c r="P28" s="73"/>
      <c r="Q28" s="73"/>
      <c r="R28" s="74"/>
      <c r="S28" s="68">
        <v>106</v>
      </c>
      <c r="T28" s="68">
        <v>62</v>
      </c>
      <c r="U28" s="74">
        <f t="shared" si="3"/>
        <v>168</v>
      </c>
      <c r="V28" s="73">
        <v>80</v>
      </c>
      <c r="W28" s="73">
        <v>52</v>
      </c>
      <c r="X28" s="74">
        <f t="shared" si="4"/>
        <v>132</v>
      </c>
      <c r="Y28" s="68"/>
      <c r="Z28" s="68"/>
      <c r="AA28" s="74"/>
      <c r="AB28" s="73">
        <v>81</v>
      </c>
      <c r="AC28" s="73">
        <v>54</v>
      </c>
      <c r="AD28" s="74">
        <f t="shared" si="5"/>
        <v>135</v>
      </c>
      <c r="AE28" s="73">
        <v>21</v>
      </c>
      <c r="AF28" s="73">
        <v>21</v>
      </c>
      <c r="AG28" s="74">
        <f t="shared" si="6"/>
        <v>42</v>
      </c>
      <c r="AH28" s="68">
        <v>20</v>
      </c>
      <c r="AI28" s="68">
        <v>20</v>
      </c>
      <c r="AJ28" s="74">
        <f t="shared" si="7"/>
        <v>40</v>
      </c>
      <c r="AK28" s="68">
        <v>24</v>
      </c>
      <c r="AL28" s="68">
        <v>23</v>
      </c>
      <c r="AM28" s="74">
        <f t="shared" si="8"/>
        <v>47</v>
      </c>
      <c r="AN28" s="73">
        <v>40</v>
      </c>
      <c r="AO28" s="74">
        <f t="shared" si="9"/>
        <v>40</v>
      </c>
      <c r="AP28" s="82">
        <v>50</v>
      </c>
      <c r="AQ28" s="74">
        <f t="shared" si="10"/>
        <v>1059</v>
      </c>
      <c r="AR28" s="41" t="s">
        <v>556</v>
      </c>
      <c r="AS28" s="42"/>
    </row>
    <row r="29" spans="1:45" ht="102.75" customHeight="1" x14ac:dyDescent="0.25">
      <c r="A29" s="44">
        <v>22</v>
      </c>
      <c r="B29" s="130">
        <v>180090105023</v>
      </c>
      <c r="C29" s="70">
        <v>180000100193</v>
      </c>
      <c r="D29" s="132" t="s">
        <v>288</v>
      </c>
      <c r="E29" s="46" t="s">
        <v>289</v>
      </c>
      <c r="F29" s="47"/>
      <c r="G29" s="73">
        <v>70</v>
      </c>
      <c r="H29" s="73">
        <v>70</v>
      </c>
      <c r="I29" s="74">
        <f t="shared" si="0"/>
        <v>140</v>
      </c>
      <c r="J29" s="73">
        <v>72</v>
      </c>
      <c r="K29" s="73">
        <v>55</v>
      </c>
      <c r="L29" s="74">
        <f t="shared" si="1"/>
        <v>127</v>
      </c>
      <c r="M29" s="73">
        <v>80</v>
      </c>
      <c r="N29" s="68">
        <v>68</v>
      </c>
      <c r="O29" s="74">
        <f t="shared" si="2"/>
        <v>148</v>
      </c>
      <c r="P29" s="73"/>
      <c r="Q29" s="73"/>
      <c r="R29" s="74"/>
      <c r="S29" s="68">
        <v>118</v>
      </c>
      <c r="T29" s="68">
        <v>63</v>
      </c>
      <c r="U29" s="74">
        <f t="shared" si="3"/>
        <v>181</v>
      </c>
      <c r="V29" s="73">
        <v>74</v>
      </c>
      <c r="W29" s="73">
        <v>52</v>
      </c>
      <c r="X29" s="74">
        <f t="shared" si="4"/>
        <v>126</v>
      </c>
      <c r="Y29" s="68"/>
      <c r="Z29" s="68"/>
      <c r="AA29" s="74"/>
      <c r="AB29" s="73">
        <v>77</v>
      </c>
      <c r="AC29" s="73">
        <v>52</v>
      </c>
      <c r="AD29" s="74">
        <f t="shared" si="5"/>
        <v>129</v>
      </c>
      <c r="AE29" s="73">
        <v>20</v>
      </c>
      <c r="AF29" s="73">
        <v>19</v>
      </c>
      <c r="AG29" s="74">
        <f t="shared" si="6"/>
        <v>39</v>
      </c>
      <c r="AH29" s="68">
        <v>17</v>
      </c>
      <c r="AI29" s="68">
        <v>18</v>
      </c>
      <c r="AJ29" s="74">
        <f t="shared" si="7"/>
        <v>35</v>
      </c>
      <c r="AK29" s="68">
        <v>21</v>
      </c>
      <c r="AL29" s="68">
        <v>23</v>
      </c>
      <c r="AM29" s="74">
        <f t="shared" si="8"/>
        <v>44</v>
      </c>
      <c r="AN29" s="73">
        <v>40</v>
      </c>
      <c r="AO29" s="74">
        <f t="shared" si="9"/>
        <v>40</v>
      </c>
      <c r="AP29" s="82">
        <v>46</v>
      </c>
      <c r="AQ29" s="74">
        <f t="shared" si="10"/>
        <v>1009</v>
      </c>
      <c r="AR29" s="41" t="s">
        <v>556</v>
      </c>
      <c r="AS29" s="42"/>
    </row>
    <row r="30" spans="1:45" ht="102.75" customHeight="1" x14ac:dyDescent="0.25">
      <c r="A30" s="44">
        <v>23</v>
      </c>
      <c r="B30" s="130">
        <v>180090105024</v>
      </c>
      <c r="C30" s="70">
        <v>180000100194</v>
      </c>
      <c r="D30" s="133" t="s">
        <v>290</v>
      </c>
      <c r="E30" s="46" t="s">
        <v>291</v>
      </c>
      <c r="F30" s="47"/>
      <c r="G30" s="73">
        <v>78</v>
      </c>
      <c r="H30" s="73">
        <v>60</v>
      </c>
      <c r="I30" s="74">
        <f t="shared" si="0"/>
        <v>138</v>
      </c>
      <c r="J30" s="73">
        <v>80</v>
      </c>
      <c r="K30" s="73">
        <v>57</v>
      </c>
      <c r="L30" s="74">
        <f t="shared" si="1"/>
        <v>137</v>
      </c>
      <c r="M30" s="73">
        <v>76</v>
      </c>
      <c r="N30" s="68">
        <v>70</v>
      </c>
      <c r="O30" s="74">
        <f t="shared" si="2"/>
        <v>146</v>
      </c>
      <c r="P30" s="73">
        <v>94</v>
      </c>
      <c r="Q30" s="73">
        <v>53</v>
      </c>
      <c r="R30" s="74">
        <f>SUM(P30:Q30)</f>
        <v>147</v>
      </c>
      <c r="S30" s="68"/>
      <c r="T30" s="114"/>
      <c r="U30" s="74"/>
      <c r="V30" s="73"/>
      <c r="W30" s="73"/>
      <c r="X30" s="74"/>
      <c r="Y30" s="68">
        <v>78</v>
      </c>
      <c r="Z30" s="68">
        <v>30</v>
      </c>
      <c r="AA30" s="74">
        <f>SUM(Y30:Z30)</f>
        <v>108</v>
      </c>
      <c r="AB30" s="73">
        <v>84</v>
      </c>
      <c r="AC30" s="73">
        <v>57</v>
      </c>
      <c r="AD30" s="74">
        <f t="shared" si="5"/>
        <v>141</v>
      </c>
      <c r="AE30" s="73">
        <v>20</v>
      </c>
      <c r="AF30" s="73">
        <v>16</v>
      </c>
      <c r="AG30" s="74">
        <f t="shared" si="6"/>
        <v>36</v>
      </c>
      <c r="AH30" s="68">
        <v>15</v>
      </c>
      <c r="AI30" s="68">
        <v>21</v>
      </c>
      <c r="AJ30" s="74">
        <f t="shared" si="7"/>
        <v>36</v>
      </c>
      <c r="AK30" s="68">
        <v>23</v>
      </c>
      <c r="AL30" s="68">
        <v>21</v>
      </c>
      <c r="AM30" s="74">
        <f t="shared" si="8"/>
        <v>44</v>
      </c>
      <c r="AN30" s="73">
        <v>41</v>
      </c>
      <c r="AO30" s="74">
        <f t="shared" si="9"/>
        <v>41</v>
      </c>
      <c r="AP30" s="82">
        <v>46</v>
      </c>
      <c r="AQ30" s="74">
        <f t="shared" si="10"/>
        <v>974</v>
      </c>
      <c r="AR30" s="41" t="s">
        <v>556</v>
      </c>
      <c r="AS30" s="42"/>
    </row>
    <row r="31" spans="1:45" ht="102.75" customHeight="1" x14ac:dyDescent="0.25">
      <c r="A31" s="44">
        <v>24</v>
      </c>
      <c r="B31" s="130">
        <v>180090105025</v>
      </c>
      <c r="C31" s="70">
        <v>180000100195</v>
      </c>
      <c r="D31" s="132" t="s">
        <v>292</v>
      </c>
      <c r="E31" s="46" t="s">
        <v>293</v>
      </c>
      <c r="F31" s="47"/>
      <c r="G31" s="73">
        <v>70</v>
      </c>
      <c r="H31" s="73">
        <v>72</v>
      </c>
      <c r="I31" s="74">
        <f t="shared" si="0"/>
        <v>142</v>
      </c>
      <c r="J31" s="73">
        <v>86</v>
      </c>
      <c r="K31" s="73">
        <v>55</v>
      </c>
      <c r="L31" s="74">
        <f t="shared" si="1"/>
        <v>141</v>
      </c>
      <c r="M31" s="73">
        <v>76</v>
      </c>
      <c r="N31" s="68">
        <v>68</v>
      </c>
      <c r="O31" s="74">
        <f t="shared" si="2"/>
        <v>144</v>
      </c>
      <c r="P31" s="73"/>
      <c r="Q31" s="73"/>
      <c r="R31" s="74"/>
      <c r="S31" s="68">
        <v>118</v>
      </c>
      <c r="T31" s="68">
        <v>63</v>
      </c>
      <c r="U31" s="74">
        <f t="shared" si="3"/>
        <v>181</v>
      </c>
      <c r="V31" s="73">
        <v>77</v>
      </c>
      <c r="W31" s="73">
        <v>59</v>
      </c>
      <c r="X31" s="74">
        <f t="shared" si="4"/>
        <v>136</v>
      </c>
      <c r="Y31" s="68"/>
      <c r="Z31" s="68"/>
      <c r="AA31" s="74"/>
      <c r="AB31" s="73">
        <v>86</v>
      </c>
      <c r="AC31" s="73">
        <v>53</v>
      </c>
      <c r="AD31" s="74">
        <f t="shared" si="5"/>
        <v>139</v>
      </c>
      <c r="AE31" s="73">
        <v>18</v>
      </c>
      <c r="AF31" s="73">
        <v>20</v>
      </c>
      <c r="AG31" s="74">
        <f t="shared" si="6"/>
        <v>38</v>
      </c>
      <c r="AH31" s="68">
        <v>18</v>
      </c>
      <c r="AI31" s="68">
        <v>22</v>
      </c>
      <c r="AJ31" s="74">
        <f t="shared" si="7"/>
        <v>40</v>
      </c>
      <c r="AK31" s="68">
        <v>19</v>
      </c>
      <c r="AL31" s="68">
        <v>22</v>
      </c>
      <c r="AM31" s="74">
        <f t="shared" si="8"/>
        <v>41</v>
      </c>
      <c r="AN31" s="73">
        <v>41</v>
      </c>
      <c r="AO31" s="74">
        <f t="shared" si="9"/>
        <v>41</v>
      </c>
      <c r="AP31" s="82">
        <v>50</v>
      </c>
      <c r="AQ31" s="74">
        <f t="shared" si="10"/>
        <v>1043</v>
      </c>
      <c r="AR31" s="41" t="s">
        <v>556</v>
      </c>
      <c r="AS31" s="42"/>
    </row>
    <row r="32" spans="1:45" ht="102.75" customHeight="1" x14ac:dyDescent="0.25">
      <c r="A32" s="44">
        <v>25</v>
      </c>
      <c r="B32" s="130">
        <v>180090105026</v>
      </c>
      <c r="C32" s="70">
        <v>180000100196</v>
      </c>
      <c r="D32" s="133" t="s">
        <v>294</v>
      </c>
      <c r="E32" s="46" t="s">
        <v>295</v>
      </c>
      <c r="F32" s="47"/>
      <c r="G32" s="73">
        <v>78</v>
      </c>
      <c r="H32" s="73">
        <v>73</v>
      </c>
      <c r="I32" s="74">
        <f t="shared" si="0"/>
        <v>151</v>
      </c>
      <c r="J32" s="73">
        <v>70</v>
      </c>
      <c r="K32" s="73">
        <v>59</v>
      </c>
      <c r="L32" s="74">
        <f t="shared" si="1"/>
        <v>129</v>
      </c>
      <c r="M32" s="73">
        <v>80</v>
      </c>
      <c r="N32" s="68">
        <v>70</v>
      </c>
      <c r="O32" s="74">
        <f t="shared" si="2"/>
        <v>150</v>
      </c>
      <c r="P32" s="73"/>
      <c r="Q32" s="73"/>
      <c r="R32" s="74"/>
      <c r="S32" s="68">
        <v>118</v>
      </c>
      <c r="T32" s="68">
        <v>52</v>
      </c>
      <c r="U32" s="74">
        <f t="shared" si="3"/>
        <v>170</v>
      </c>
      <c r="V32" s="73">
        <v>78</v>
      </c>
      <c r="W32" s="73">
        <v>53</v>
      </c>
      <c r="X32" s="74">
        <f t="shared" si="4"/>
        <v>131</v>
      </c>
      <c r="Y32" s="68"/>
      <c r="Z32" s="68"/>
      <c r="AA32" s="74"/>
      <c r="AB32" s="73">
        <v>80</v>
      </c>
      <c r="AC32" s="73">
        <v>53</v>
      </c>
      <c r="AD32" s="74">
        <f t="shared" si="5"/>
        <v>133</v>
      </c>
      <c r="AE32" s="73">
        <v>20</v>
      </c>
      <c r="AF32" s="73">
        <v>20</v>
      </c>
      <c r="AG32" s="74">
        <f t="shared" si="6"/>
        <v>40</v>
      </c>
      <c r="AH32" s="68">
        <v>22</v>
      </c>
      <c r="AI32" s="68">
        <v>18</v>
      </c>
      <c r="AJ32" s="74">
        <f t="shared" si="7"/>
        <v>40</v>
      </c>
      <c r="AK32" s="68">
        <v>20</v>
      </c>
      <c r="AL32" s="68">
        <v>22</v>
      </c>
      <c r="AM32" s="74">
        <f t="shared" si="8"/>
        <v>42</v>
      </c>
      <c r="AN32" s="73">
        <v>42</v>
      </c>
      <c r="AO32" s="74">
        <f t="shared" si="9"/>
        <v>42</v>
      </c>
      <c r="AP32" s="82">
        <v>45</v>
      </c>
      <c r="AQ32" s="74">
        <f t="shared" si="10"/>
        <v>1028</v>
      </c>
      <c r="AR32" s="41" t="s">
        <v>556</v>
      </c>
      <c r="AS32" s="42"/>
    </row>
    <row r="33" spans="1:45" ht="102.75" customHeight="1" x14ac:dyDescent="0.25">
      <c r="A33" s="44">
        <v>26</v>
      </c>
      <c r="B33" s="130">
        <v>180090105027</v>
      </c>
      <c r="C33" s="70">
        <v>180000100197</v>
      </c>
      <c r="D33" s="132" t="s">
        <v>296</v>
      </c>
      <c r="E33" s="46" t="s">
        <v>297</v>
      </c>
      <c r="F33" s="47"/>
      <c r="G33" s="73">
        <v>78</v>
      </c>
      <c r="H33" s="73">
        <v>69</v>
      </c>
      <c r="I33" s="74">
        <f t="shared" si="0"/>
        <v>147</v>
      </c>
      <c r="J33" s="73">
        <v>84</v>
      </c>
      <c r="K33" s="73">
        <v>61</v>
      </c>
      <c r="L33" s="74">
        <f t="shared" si="1"/>
        <v>145</v>
      </c>
      <c r="M33" s="73">
        <v>96</v>
      </c>
      <c r="N33" s="68">
        <v>70</v>
      </c>
      <c r="O33" s="74">
        <f t="shared" si="2"/>
        <v>166</v>
      </c>
      <c r="P33" s="73">
        <v>82</v>
      </c>
      <c r="Q33" s="73">
        <v>55</v>
      </c>
      <c r="R33" s="74">
        <f>SUM(P33:Q33)</f>
        <v>137</v>
      </c>
      <c r="S33" s="68"/>
      <c r="T33" s="114"/>
      <c r="U33" s="74"/>
      <c r="V33" s="73"/>
      <c r="W33" s="73"/>
      <c r="X33" s="74"/>
      <c r="Y33" s="68">
        <v>71</v>
      </c>
      <c r="Z33" s="68">
        <v>50</v>
      </c>
      <c r="AA33" s="74">
        <f>SUM(Y33:Z33)</f>
        <v>121</v>
      </c>
      <c r="AB33" s="73">
        <v>84</v>
      </c>
      <c r="AC33" s="73">
        <v>54</v>
      </c>
      <c r="AD33" s="74">
        <f t="shared" si="5"/>
        <v>138</v>
      </c>
      <c r="AE33" s="73">
        <v>20</v>
      </c>
      <c r="AF33" s="73">
        <v>19</v>
      </c>
      <c r="AG33" s="74">
        <f t="shared" si="6"/>
        <v>39</v>
      </c>
      <c r="AH33" s="68">
        <v>21</v>
      </c>
      <c r="AI33" s="68">
        <v>23</v>
      </c>
      <c r="AJ33" s="74">
        <f t="shared" si="7"/>
        <v>44</v>
      </c>
      <c r="AK33" s="68">
        <v>23</v>
      </c>
      <c r="AL33" s="68">
        <v>23</v>
      </c>
      <c r="AM33" s="74">
        <f t="shared" si="8"/>
        <v>46</v>
      </c>
      <c r="AN33" s="73">
        <v>42</v>
      </c>
      <c r="AO33" s="74">
        <f t="shared" si="9"/>
        <v>42</v>
      </c>
      <c r="AP33" s="82">
        <v>45</v>
      </c>
      <c r="AQ33" s="74">
        <f t="shared" si="10"/>
        <v>1025</v>
      </c>
      <c r="AR33" s="41" t="s">
        <v>556</v>
      </c>
      <c r="AS33" s="42"/>
    </row>
    <row r="34" spans="1:45" ht="102.75" customHeight="1" x14ac:dyDescent="0.25">
      <c r="A34" s="44">
        <v>27</v>
      </c>
      <c r="B34" s="130">
        <v>180090105028</v>
      </c>
      <c r="C34" s="70">
        <v>180000100198</v>
      </c>
      <c r="D34" s="132" t="s">
        <v>298</v>
      </c>
      <c r="E34" s="46" t="s">
        <v>299</v>
      </c>
      <c r="F34" s="47"/>
      <c r="G34" s="73">
        <v>72</v>
      </c>
      <c r="H34" s="73">
        <v>68</v>
      </c>
      <c r="I34" s="74">
        <f t="shared" si="0"/>
        <v>140</v>
      </c>
      <c r="J34" s="73">
        <v>94</v>
      </c>
      <c r="K34" s="73">
        <v>51</v>
      </c>
      <c r="L34" s="74">
        <f t="shared" si="1"/>
        <v>145</v>
      </c>
      <c r="M34" s="73">
        <v>96</v>
      </c>
      <c r="N34" s="73">
        <v>70</v>
      </c>
      <c r="O34" s="74">
        <f t="shared" si="2"/>
        <v>166</v>
      </c>
      <c r="P34" s="73"/>
      <c r="Q34" s="73"/>
      <c r="R34" s="74"/>
      <c r="S34" s="68">
        <v>108</v>
      </c>
      <c r="T34" s="68">
        <v>66</v>
      </c>
      <c r="U34" s="74">
        <f t="shared" si="3"/>
        <v>174</v>
      </c>
      <c r="V34" s="73">
        <v>80</v>
      </c>
      <c r="W34" s="73">
        <v>56</v>
      </c>
      <c r="X34" s="74">
        <f t="shared" si="4"/>
        <v>136</v>
      </c>
      <c r="Y34" s="68"/>
      <c r="Z34" s="68"/>
      <c r="AA34" s="74"/>
      <c r="AB34" s="73">
        <v>83</v>
      </c>
      <c r="AC34" s="73">
        <v>54</v>
      </c>
      <c r="AD34" s="74">
        <f t="shared" si="5"/>
        <v>137</v>
      </c>
      <c r="AE34" s="73">
        <v>20</v>
      </c>
      <c r="AF34" s="73">
        <v>22</v>
      </c>
      <c r="AG34" s="74">
        <f t="shared" si="6"/>
        <v>42</v>
      </c>
      <c r="AH34" s="68">
        <v>19</v>
      </c>
      <c r="AI34" s="68">
        <v>21</v>
      </c>
      <c r="AJ34" s="74">
        <f t="shared" si="7"/>
        <v>40</v>
      </c>
      <c r="AK34" s="68">
        <v>24</v>
      </c>
      <c r="AL34" s="68">
        <v>23</v>
      </c>
      <c r="AM34" s="74">
        <f t="shared" si="8"/>
        <v>47</v>
      </c>
      <c r="AN34" s="73">
        <v>40</v>
      </c>
      <c r="AO34" s="74">
        <f t="shared" si="9"/>
        <v>40</v>
      </c>
      <c r="AP34" s="82">
        <v>47</v>
      </c>
      <c r="AQ34" s="74">
        <f t="shared" si="10"/>
        <v>1067</v>
      </c>
      <c r="AR34" s="41" t="s">
        <v>556</v>
      </c>
      <c r="AS34" s="42"/>
    </row>
    <row r="35" spans="1:45" ht="102.75" customHeight="1" x14ac:dyDescent="0.25">
      <c r="A35" s="44">
        <v>28</v>
      </c>
      <c r="B35" s="130">
        <v>180090105029</v>
      </c>
      <c r="C35" s="70">
        <v>180000100199</v>
      </c>
      <c r="D35" s="132" t="s">
        <v>300</v>
      </c>
      <c r="E35" s="46" t="s">
        <v>301</v>
      </c>
      <c r="F35" s="47"/>
      <c r="G35" s="73">
        <v>66</v>
      </c>
      <c r="H35" s="73">
        <v>57</v>
      </c>
      <c r="I35" s="74">
        <f t="shared" si="0"/>
        <v>123</v>
      </c>
      <c r="J35" s="73">
        <v>86</v>
      </c>
      <c r="K35" s="73">
        <v>58</v>
      </c>
      <c r="L35" s="74">
        <f t="shared" si="1"/>
        <v>144</v>
      </c>
      <c r="M35" s="73">
        <v>116</v>
      </c>
      <c r="N35" s="73">
        <v>69</v>
      </c>
      <c r="O35" s="74">
        <f t="shared" si="2"/>
        <v>185</v>
      </c>
      <c r="P35" s="73"/>
      <c r="Q35" s="73"/>
      <c r="R35" s="74"/>
      <c r="S35" s="68">
        <v>110</v>
      </c>
      <c r="T35" s="68">
        <v>54</v>
      </c>
      <c r="U35" s="74">
        <f t="shared" si="3"/>
        <v>164</v>
      </c>
      <c r="V35" s="73">
        <v>72</v>
      </c>
      <c r="W35" s="73">
        <v>43</v>
      </c>
      <c r="X35" s="74">
        <f t="shared" si="4"/>
        <v>115</v>
      </c>
      <c r="Y35" s="68"/>
      <c r="Z35" s="68"/>
      <c r="AA35" s="74"/>
      <c r="AB35" s="73">
        <v>80</v>
      </c>
      <c r="AC35" s="73">
        <v>53</v>
      </c>
      <c r="AD35" s="74">
        <f t="shared" si="5"/>
        <v>133</v>
      </c>
      <c r="AE35" s="73">
        <v>15</v>
      </c>
      <c r="AF35" s="73">
        <v>13</v>
      </c>
      <c r="AG35" s="74">
        <f t="shared" si="6"/>
        <v>28</v>
      </c>
      <c r="AH35" s="68">
        <v>14</v>
      </c>
      <c r="AI35" s="68">
        <v>21</v>
      </c>
      <c r="AJ35" s="74">
        <f t="shared" si="7"/>
        <v>35</v>
      </c>
      <c r="AK35" s="68">
        <v>19</v>
      </c>
      <c r="AL35" s="68">
        <v>22</v>
      </c>
      <c r="AM35" s="74">
        <f t="shared" si="8"/>
        <v>41</v>
      </c>
      <c r="AN35" s="73">
        <v>39</v>
      </c>
      <c r="AO35" s="74">
        <f t="shared" si="9"/>
        <v>39</v>
      </c>
      <c r="AP35" s="82">
        <v>47</v>
      </c>
      <c r="AQ35" s="74">
        <f t="shared" si="10"/>
        <v>1007</v>
      </c>
      <c r="AR35" s="41" t="s">
        <v>556</v>
      </c>
      <c r="AS35" s="42"/>
    </row>
    <row r="36" spans="1:45" ht="102.75" customHeight="1" x14ac:dyDescent="0.25">
      <c r="A36" s="44">
        <v>29</v>
      </c>
      <c r="B36" s="130">
        <v>180090105030</v>
      </c>
      <c r="C36" s="70">
        <v>180000100200</v>
      </c>
      <c r="D36" s="132" t="s">
        <v>302</v>
      </c>
      <c r="E36" s="46" t="s">
        <v>303</v>
      </c>
      <c r="F36" s="47"/>
      <c r="G36" s="73">
        <v>82</v>
      </c>
      <c r="H36" s="73">
        <v>70</v>
      </c>
      <c r="I36" s="74">
        <f t="shared" si="0"/>
        <v>152</v>
      </c>
      <c r="J36" s="73">
        <v>78</v>
      </c>
      <c r="K36" s="73">
        <v>62</v>
      </c>
      <c r="L36" s="74">
        <f t="shared" si="1"/>
        <v>140</v>
      </c>
      <c r="M36" s="73">
        <v>80</v>
      </c>
      <c r="N36" s="73">
        <v>71</v>
      </c>
      <c r="O36" s="74">
        <f t="shared" si="2"/>
        <v>151</v>
      </c>
      <c r="P36" s="73"/>
      <c r="Q36" s="73"/>
      <c r="R36" s="74"/>
      <c r="S36" s="68">
        <v>114</v>
      </c>
      <c r="T36" s="68">
        <v>57</v>
      </c>
      <c r="U36" s="74">
        <f t="shared" si="3"/>
        <v>171</v>
      </c>
      <c r="V36" s="73">
        <v>74</v>
      </c>
      <c r="W36" s="73">
        <v>52</v>
      </c>
      <c r="X36" s="74">
        <f t="shared" si="4"/>
        <v>126</v>
      </c>
      <c r="Y36" s="68"/>
      <c r="Z36" s="68"/>
      <c r="AA36" s="74"/>
      <c r="AB36" s="73">
        <v>75</v>
      </c>
      <c r="AC36" s="73">
        <v>52</v>
      </c>
      <c r="AD36" s="74">
        <f t="shared" si="5"/>
        <v>127</v>
      </c>
      <c r="AE36" s="73">
        <v>22</v>
      </c>
      <c r="AF36" s="73">
        <v>19</v>
      </c>
      <c r="AG36" s="74">
        <f t="shared" si="6"/>
        <v>41</v>
      </c>
      <c r="AH36" s="68">
        <v>18</v>
      </c>
      <c r="AI36" s="68">
        <v>20</v>
      </c>
      <c r="AJ36" s="74">
        <f t="shared" si="7"/>
        <v>38</v>
      </c>
      <c r="AK36" s="68">
        <v>23</v>
      </c>
      <c r="AL36" s="68">
        <v>20</v>
      </c>
      <c r="AM36" s="74">
        <f t="shared" si="8"/>
        <v>43</v>
      </c>
      <c r="AN36" s="73">
        <v>42</v>
      </c>
      <c r="AO36" s="74">
        <f t="shared" si="9"/>
        <v>42</v>
      </c>
      <c r="AP36" s="82">
        <v>47</v>
      </c>
      <c r="AQ36" s="74">
        <f t="shared" si="10"/>
        <v>1031</v>
      </c>
      <c r="AR36" s="41" t="s">
        <v>556</v>
      </c>
      <c r="AS36" s="42"/>
    </row>
    <row r="37" spans="1:45" ht="102.75" customHeight="1" x14ac:dyDescent="0.25">
      <c r="A37" s="44">
        <v>30</v>
      </c>
      <c r="B37" s="130">
        <v>180090105031</v>
      </c>
      <c r="C37" s="70">
        <v>180000100201</v>
      </c>
      <c r="D37" s="133" t="s">
        <v>304</v>
      </c>
      <c r="E37" s="46" t="s">
        <v>305</v>
      </c>
      <c r="F37" s="47"/>
      <c r="G37" s="73">
        <v>72</v>
      </c>
      <c r="H37" s="73">
        <v>63</v>
      </c>
      <c r="I37" s="74">
        <f t="shared" si="0"/>
        <v>135</v>
      </c>
      <c r="J37" s="73">
        <v>58</v>
      </c>
      <c r="K37" s="73">
        <v>50</v>
      </c>
      <c r="L37" s="74">
        <f t="shared" si="1"/>
        <v>108</v>
      </c>
      <c r="M37" s="73">
        <v>66</v>
      </c>
      <c r="N37" s="73">
        <v>64</v>
      </c>
      <c r="O37" s="74">
        <f t="shared" si="2"/>
        <v>130</v>
      </c>
      <c r="P37" s="73"/>
      <c r="Q37" s="73"/>
      <c r="R37" s="74"/>
      <c r="S37" s="68">
        <v>94</v>
      </c>
      <c r="T37" s="68">
        <v>43</v>
      </c>
      <c r="U37" s="74">
        <f t="shared" si="3"/>
        <v>137</v>
      </c>
      <c r="V37" s="73">
        <v>65</v>
      </c>
      <c r="W37" s="73">
        <v>54</v>
      </c>
      <c r="X37" s="74">
        <f t="shared" si="4"/>
        <v>119</v>
      </c>
      <c r="Y37" s="68"/>
      <c r="Z37" s="68"/>
      <c r="AA37" s="74"/>
      <c r="AB37" s="73">
        <v>67</v>
      </c>
      <c r="AC37" s="73">
        <v>49</v>
      </c>
      <c r="AD37" s="74">
        <f t="shared" si="5"/>
        <v>116</v>
      </c>
      <c r="AE37" s="73">
        <v>17</v>
      </c>
      <c r="AF37" s="73">
        <v>19</v>
      </c>
      <c r="AG37" s="74">
        <f t="shared" si="6"/>
        <v>36</v>
      </c>
      <c r="AH37" s="68">
        <v>15</v>
      </c>
      <c r="AI37" s="68">
        <v>22</v>
      </c>
      <c r="AJ37" s="74">
        <f t="shared" si="7"/>
        <v>37</v>
      </c>
      <c r="AK37" s="68">
        <v>23</v>
      </c>
      <c r="AL37" s="68">
        <v>23</v>
      </c>
      <c r="AM37" s="74">
        <f t="shared" si="8"/>
        <v>46</v>
      </c>
      <c r="AN37" s="73">
        <v>41</v>
      </c>
      <c r="AO37" s="74">
        <f t="shared" si="9"/>
        <v>41</v>
      </c>
      <c r="AP37" s="82">
        <v>47</v>
      </c>
      <c r="AQ37" s="74">
        <f t="shared" si="10"/>
        <v>905</v>
      </c>
      <c r="AR37" s="41" t="s">
        <v>556</v>
      </c>
      <c r="AS37" s="42"/>
    </row>
    <row r="38" spans="1:45" ht="102.75" customHeight="1" x14ac:dyDescent="0.25">
      <c r="A38" s="44">
        <v>31</v>
      </c>
      <c r="B38" s="130">
        <v>180090105032</v>
      </c>
      <c r="C38" s="70">
        <v>180000100202</v>
      </c>
      <c r="D38" s="133" t="s">
        <v>306</v>
      </c>
      <c r="E38" s="46" t="s">
        <v>307</v>
      </c>
      <c r="F38" s="47"/>
      <c r="G38" s="73">
        <v>76</v>
      </c>
      <c r="H38" s="73">
        <v>69</v>
      </c>
      <c r="I38" s="74">
        <f t="shared" si="0"/>
        <v>145</v>
      </c>
      <c r="J38" s="73">
        <v>74</v>
      </c>
      <c r="K38" s="73">
        <v>54</v>
      </c>
      <c r="L38" s="74">
        <f t="shared" si="1"/>
        <v>128</v>
      </c>
      <c r="M38" s="73">
        <v>84</v>
      </c>
      <c r="N38" s="73">
        <v>69</v>
      </c>
      <c r="O38" s="74">
        <f t="shared" si="2"/>
        <v>153</v>
      </c>
      <c r="P38" s="73"/>
      <c r="Q38" s="73"/>
      <c r="R38" s="74"/>
      <c r="S38" s="68">
        <v>108</v>
      </c>
      <c r="T38" s="68">
        <v>44</v>
      </c>
      <c r="U38" s="74">
        <f t="shared" si="3"/>
        <v>152</v>
      </c>
      <c r="V38" s="73"/>
      <c r="W38" s="73"/>
      <c r="X38" s="74"/>
      <c r="Y38" s="68">
        <v>65</v>
      </c>
      <c r="Z38" s="68">
        <v>53</v>
      </c>
      <c r="AA38" s="74">
        <f>SUM(Y38:Z38)</f>
        <v>118</v>
      </c>
      <c r="AB38" s="73">
        <v>83</v>
      </c>
      <c r="AC38" s="73">
        <v>52</v>
      </c>
      <c r="AD38" s="74">
        <f t="shared" si="5"/>
        <v>135</v>
      </c>
      <c r="AE38" s="73">
        <v>21</v>
      </c>
      <c r="AF38" s="73">
        <v>20</v>
      </c>
      <c r="AG38" s="74">
        <f t="shared" si="6"/>
        <v>41</v>
      </c>
      <c r="AH38" s="68">
        <v>19</v>
      </c>
      <c r="AI38" s="68">
        <v>21</v>
      </c>
      <c r="AJ38" s="74">
        <f t="shared" si="7"/>
        <v>40</v>
      </c>
      <c r="AK38" s="68">
        <v>18</v>
      </c>
      <c r="AL38" s="68">
        <v>21</v>
      </c>
      <c r="AM38" s="74">
        <f t="shared" si="8"/>
        <v>39</v>
      </c>
      <c r="AN38" s="73">
        <v>37</v>
      </c>
      <c r="AO38" s="74">
        <f t="shared" si="9"/>
        <v>37</v>
      </c>
      <c r="AP38" s="82">
        <v>50</v>
      </c>
      <c r="AQ38" s="74">
        <f t="shared" si="10"/>
        <v>988</v>
      </c>
      <c r="AR38" s="41" t="s">
        <v>556</v>
      </c>
      <c r="AS38" s="42"/>
    </row>
    <row r="39" spans="1:45" ht="102.75" customHeight="1" x14ac:dyDescent="0.25">
      <c r="A39" s="44">
        <v>32</v>
      </c>
      <c r="B39" s="130">
        <v>180090105033</v>
      </c>
      <c r="C39" s="70">
        <v>180000100203</v>
      </c>
      <c r="D39" s="132" t="s">
        <v>308</v>
      </c>
      <c r="E39" s="46" t="s">
        <v>309</v>
      </c>
      <c r="F39" s="47"/>
      <c r="G39" s="73">
        <v>86</v>
      </c>
      <c r="H39" s="73">
        <v>69</v>
      </c>
      <c r="I39" s="74">
        <f t="shared" si="0"/>
        <v>155</v>
      </c>
      <c r="J39" s="73">
        <v>88</v>
      </c>
      <c r="K39" s="73">
        <v>58</v>
      </c>
      <c r="L39" s="74">
        <f t="shared" si="1"/>
        <v>146</v>
      </c>
      <c r="M39" s="73">
        <v>92</v>
      </c>
      <c r="N39" s="73">
        <v>70</v>
      </c>
      <c r="O39" s="74">
        <f t="shared" si="2"/>
        <v>162</v>
      </c>
      <c r="P39" s="73"/>
      <c r="Q39" s="73"/>
      <c r="R39" s="74"/>
      <c r="S39" s="68">
        <v>106</v>
      </c>
      <c r="T39" s="68">
        <v>55</v>
      </c>
      <c r="U39" s="74">
        <f t="shared" si="3"/>
        <v>161</v>
      </c>
      <c r="V39" s="73"/>
      <c r="W39" s="73"/>
      <c r="X39" s="74"/>
      <c r="Y39" s="68">
        <v>71</v>
      </c>
      <c r="Z39" s="68">
        <v>53</v>
      </c>
      <c r="AA39" s="74">
        <f>SUM(Y39:Z39)</f>
        <v>124</v>
      </c>
      <c r="AB39" s="73">
        <v>78</v>
      </c>
      <c r="AC39" s="73">
        <v>56</v>
      </c>
      <c r="AD39" s="74">
        <f t="shared" si="5"/>
        <v>134</v>
      </c>
      <c r="AE39" s="73">
        <v>21</v>
      </c>
      <c r="AF39" s="73">
        <v>17</v>
      </c>
      <c r="AG39" s="74">
        <f t="shared" si="6"/>
        <v>38</v>
      </c>
      <c r="AH39" s="68">
        <v>20</v>
      </c>
      <c r="AI39" s="68">
        <v>21</v>
      </c>
      <c r="AJ39" s="74">
        <f t="shared" si="7"/>
        <v>41</v>
      </c>
      <c r="AK39" s="68">
        <v>23</v>
      </c>
      <c r="AL39" s="68">
        <v>23</v>
      </c>
      <c r="AM39" s="74">
        <f t="shared" si="8"/>
        <v>46</v>
      </c>
      <c r="AN39" s="73">
        <v>38</v>
      </c>
      <c r="AO39" s="74">
        <f t="shared" si="9"/>
        <v>38</v>
      </c>
      <c r="AP39" s="82">
        <v>45</v>
      </c>
      <c r="AQ39" s="74">
        <f t="shared" si="10"/>
        <v>1045</v>
      </c>
      <c r="AR39" s="41" t="s">
        <v>556</v>
      </c>
      <c r="AS39" s="42"/>
    </row>
    <row r="40" spans="1:45" ht="102.75" customHeight="1" x14ac:dyDescent="0.25">
      <c r="A40" s="44">
        <v>33</v>
      </c>
      <c r="B40" s="130">
        <v>180090105034</v>
      </c>
      <c r="C40" s="70">
        <v>180000100204</v>
      </c>
      <c r="D40" s="132" t="s">
        <v>310</v>
      </c>
      <c r="E40" s="46" t="s">
        <v>311</v>
      </c>
      <c r="F40" s="47"/>
      <c r="G40" s="73">
        <v>80</v>
      </c>
      <c r="H40" s="73">
        <v>67</v>
      </c>
      <c r="I40" s="74">
        <f t="shared" si="0"/>
        <v>147</v>
      </c>
      <c r="J40" s="73">
        <v>86</v>
      </c>
      <c r="K40" s="73">
        <v>59</v>
      </c>
      <c r="L40" s="74">
        <f t="shared" si="1"/>
        <v>145</v>
      </c>
      <c r="M40" s="73">
        <v>96</v>
      </c>
      <c r="N40" s="73">
        <v>70</v>
      </c>
      <c r="O40" s="74">
        <f t="shared" si="2"/>
        <v>166</v>
      </c>
      <c r="P40" s="73">
        <v>88</v>
      </c>
      <c r="Q40" s="73">
        <v>55</v>
      </c>
      <c r="R40" s="74">
        <f>SUM(P40:Q40)</f>
        <v>143</v>
      </c>
      <c r="S40" s="68"/>
      <c r="T40" s="114"/>
      <c r="U40" s="74"/>
      <c r="V40" s="73">
        <v>78</v>
      </c>
      <c r="W40" s="73">
        <v>50</v>
      </c>
      <c r="X40" s="74">
        <f t="shared" si="4"/>
        <v>128</v>
      </c>
      <c r="Y40" s="68"/>
      <c r="Z40" s="68"/>
      <c r="AA40" s="74"/>
      <c r="AB40" s="73">
        <v>84</v>
      </c>
      <c r="AC40" s="73">
        <v>54</v>
      </c>
      <c r="AD40" s="74">
        <f t="shared" si="5"/>
        <v>138</v>
      </c>
      <c r="AE40" s="73">
        <v>22</v>
      </c>
      <c r="AF40" s="73">
        <v>18</v>
      </c>
      <c r="AG40" s="74">
        <f t="shared" si="6"/>
        <v>40</v>
      </c>
      <c r="AH40" s="68">
        <v>17</v>
      </c>
      <c r="AI40" s="68">
        <v>20</v>
      </c>
      <c r="AJ40" s="74">
        <f t="shared" si="7"/>
        <v>37</v>
      </c>
      <c r="AK40" s="68">
        <v>22</v>
      </c>
      <c r="AL40" s="68">
        <v>23</v>
      </c>
      <c r="AM40" s="74">
        <f t="shared" si="8"/>
        <v>45</v>
      </c>
      <c r="AN40" s="73">
        <v>37</v>
      </c>
      <c r="AO40" s="74">
        <f t="shared" si="9"/>
        <v>37</v>
      </c>
      <c r="AP40" s="82">
        <v>50</v>
      </c>
      <c r="AQ40" s="74">
        <f t="shared" si="10"/>
        <v>1026</v>
      </c>
      <c r="AR40" s="41" t="s">
        <v>556</v>
      </c>
      <c r="AS40" s="42"/>
    </row>
    <row r="41" spans="1:45" ht="102.75" customHeight="1" x14ac:dyDescent="0.25">
      <c r="A41" s="44">
        <v>34</v>
      </c>
      <c r="B41" s="130">
        <v>180090105035</v>
      </c>
      <c r="C41" s="70">
        <v>180000100205</v>
      </c>
      <c r="D41" s="132" t="s">
        <v>312</v>
      </c>
      <c r="E41" s="46" t="s">
        <v>313</v>
      </c>
      <c r="F41" s="47"/>
      <c r="G41" s="73">
        <v>70</v>
      </c>
      <c r="H41" s="73">
        <v>72</v>
      </c>
      <c r="I41" s="74">
        <f t="shared" si="0"/>
        <v>142</v>
      </c>
      <c r="J41" s="73">
        <v>84</v>
      </c>
      <c r="K41" s="73">
        <v>54</v>
      </c>
      <c r="L41" s="74">
        <f t="shared" si="1"/>
        <v>138</v>
      </c>
      <c r="M41" s="73">
        <v>86</v>
      </c>
      <c r="N41" s="73">
        <v>71</v>
      </c>
      <c r="O41" s="74">
        <f t="shared" si="2"/>
        <v>157</v>
      </c>
      <c r="P41" s="73"/>
      <c r="Q41" s="73"/>
      <c r="R41" s="74"/>
      <c r="S41" s="68">
        <v>108</v>
      </c>
      <c r="T41" s="68">
        <v>67</v>
      </c>
      <c r="U41" s="74">
        <f t="shared" si="3"/>
        <v>175</v>
      </c>
      <c r="V41" s="73">
        <v>84</v>
      </c>
      <c r="W41" s="73">
        <v>57</v>
      </c>
      <c r="X41" s="74">
        <f t="shared" si="4"/>
        <v>141</v>
      </c>
      <c r="Y41" s="68"/>
      <c r="Z41" s="68"/>
      <c r="AA41" s="74"/>
      <c r="AB41" s="73">
        <v>85</v>
      </c>
      <c r="AC41" s="73">
        <v>58</v>
      </c>
      <c r="AD41" s="74">
        <f t="shared" si="5"/>
        <v>143</v>
      </c>
      <c r="AE41" s="73">
        <v>20</v>
      </c>
      <c r="AF41" s="73">
        <v>20</v>
      </c>
      <c r="AG41" s="74">
        <f t="shared" si="6"/>
        <v>40</v>
      </c>
      <c r="AH41" s="68">
        <v>16</v>
      </c>
      <c r="AI41" s="68">
        <v>22</v>
      </c>
      <c r="AJ41" s="74">
        <f t="shared" si="7"/>
        <v>38</v>
      </c>
      <c r="AK41" s="68">
        <v>19</v>
      </c>
      <c r="AL41" s="68">
        <v>23</v>
      </c>
      <c r="AM41" s="74">
        <f t="shared" si="8"/>
        <v>42</v>
      </c>
      <c r="AN41" s="73">
        <v>40</v>
      </c>
      <c r="AO41" s="74">
        <f t="shared" si="9"/>
        <v>40</v>
      </c>
      <c r="AP41" s="82">
        <v>45</v>
      </c>
      <c r="AQ41" s="74">
        <f t="shared" si="10"/>
        <v>1056</v>
      </c>
      <c r="AR41" s="41" t="s">
        <v>556</v>
      </c>
      <c r="AS41" s="42"/>
    </row>
    <row r="42" spans="1:45" ht="102.75" customHeight="1" x14ac:dyDescent="0.25">
      <c r="A42" s="44">
        <v>35</v>
      </c>
      <c r="B42" s="130">
        <v>180090105036</v>
      </c>
      <c r="C42" s="70">
        <v>180000100206</v>
      </c>
      <c r="D42" s="133" t="s">
        <v>314</v>
      </c>
      <c r="E42" s="46" t="s">
        <v>315</v>
      </c>
      <c r="F42" s="47"/>
      <c r="G42" s="73">
        <v>68</v>
      </c>
      <c r="H42" s="73">
        <v>63</v>
      </c>
      <c r="I42" s="74">
        <f t="shared" si="0"/>
        <v>131</v>
      </c>
      <c r="J42" s="73">
        <v>84</v>
      </c>
      <c r="K42" s="73">
        <v>57</v>
      </c>
      <c r="L42" s="74">
        <f t="shared" si="1"/>
        <v>141</v>
      </c>
      <c r="M42" s="73">
        <v>78</v>
      </c>
      <c r="N42" s="73">
        <v>67</v>
      </c>
      <c r="O42" s="74">
        <f t="shared" si="2"/>
        <v>145</v>
      </c>
      <c r="P42" s="73"/>
      <c r="Q42" s="73"/>
      <c r="R42" s="74"/>
      <c r="S42" s="68">
        <v>106</v>
      </c>
      <c r="T42" s="68">
        <v>41</v>
      </c>
      <c r="U42" s="74">
        <f t="shared" si="3"/>
        <v>147</v>
      </c>
      <c r="V42" s="73"/>
      <c r="W42" s="73"/>
      <c r="X42" s="74"/>
      <c r="Y42" s="68">
        <v>66</v>
      </c>
      <c r="Z42" s="68">
        <v>49</v>
      </c>
      <c r="AA42" s="74">
        <f>SUM(Y42:Z42)</f>
        <v>115</v>
      </c>
      <c r="AB42" s="73">
        <v>77</v>
      </c>
      <c r="AC42" s="73">
        <v>52</v>
      </c>
      <c r="AD42" s="74">
        <f t="shared" si="5"/>
        <v>129</v>
      </c>
      <c r="AE42" s="73">
        <v>22</v>
      </c>
      <c r="AF42" s="73">
        <v>19</v>
      </c>
      <c r="AG42" s="74">
        <f t="shared" si="6"/>
        <v>41</v>
      </c>
      <c r="AH42" s="68">
        <v>17</v>
      </c>
      <c r="AI42" s="68">
        <v>21</v>
      </c>
      <c r="AJ42" s="74">
        <f t="shared" si="7"/>
        <v>38</v>
      </c>
      <c r="AK42" s="68">
        <v>22</v>
      </c>
      <c r="AL42" s="68">
        <v>22</v>
      </c>
      <c r="AM42" s="74">
        <f t="shared" si="8"/>
        <v>44</v>
      </c>
      <c r="AN42" s="73">
        <v>39</v>
      </c>
      <c r="AO42" s="74">
        <f t="shared" si="9"/>
        <v>39</v>
      </c>
      <c r="AP42" s="82">
        <v>47</v>
      </c>
      <c r="AQ42" s="74">
        <f t="shared" si="10"/>
        <v>970</v>
      </c>
      <c r="AR42" s="41" t="s">
        <v>556</v>
      </c>
      <c r="AS42" s="42"/>
    </row>
    <row r="43" spans="1:45" ht="102.75" customHeight="1" x14ac:dyDescent="0.25">
      <c r="A43" s="44">
        <v>36</v>
      </c>
      <c r="B43" s="130">
        <v>180090105037</v>
      </c>
      <c r="C43" s="70">
        <v>180000100207</v>
      </c>
      <c r="D43" s="132" t="s">
        <v>316</v>
      </c>
      <c r="E43" s="46" t="s">
        <v>317</v>
      </c>
      <c r="F43" s="47"/>
      <c r="G43" s="73">
        <v>74</v>
      </c>
      <c r="H43" s="73">
        <v>68</v>
      </c>
      <c r="I43" s="74">
        <f t="shared" si="0"/>
        <v>142</v>
      </c>
      <c r="J43" s="73">
        <v>82</v>
      </c>
      <c r="K43" s="73">
        <v>55</v>
      </c>
      <c r="L43" s="74">
        <f t="shared" si="1"/>
        <v>137</v>
      </c>
      <c r="M43" s="73">
        <v>90</v>
      </c>
      <c r="N43" s="73">
        <v>65</v>
      </c>
      <c r="O43" s="74">
        <f t="shared" si="2"/>
        <v>155</v>
      </c>
      <c r="P43" s="73"/>
      <c r="Q43" s="73"/>
      <c r="R43" s="74"/>
      <c r="S43" s="68">
        <v>116</v>
      </c>
      <c r="T43" s="68">
        <v>61</v>
      </c>
      <c r="U43" s="74">
        <f t="shared" si="3"/>
        <v>177</v>
      </c>
      <c r="V43" s="73"/>
      <c r="W43" s="73"/>
      <c r="X43" s="74"/>
      <c r="Y43" s="68">
        <v>72</v>
      </c>
      <c r="Z43" s="68">
        <v>49</v>
      </c>
      <c r="AA43" s="74">
        <f>SUM(Y43:Z43)</f>
        <v>121</v>
      </c>
      <c r="AB43" s="73">
        <v>80</v>
      </c>
      <c r="AC43" s="73">
        <v>50</v>
      </c>
      <c r="AD43" s="74">
        <f t="shared" si="5"/>
        <v>130</v>
      </c>
      <c r="AE43" s="73">
        <v>20</v>
      </c>
      <c r="AF43" s="73">
        <v>17</v>
      </c>
      <c r="AG43" s="74">
        <f t="shared" si="6"/>
        <v>37</v>
      </c>
      <c r="AH43" s="68">
        <v>18</v>
      </c>
      <c r="AI43" s="68">
        <v>19</v>
      </c>
      <c r="AJ43" s="74">
        <f t="shared" si="7"/>
        <v>37</v>
      </c>
      <c r="AK43" s="68">
        <v>22</v>
      </c>
      <c r="AL43" s="68">
        <v>23</v>
      </c>
      <c r="AM43" s="74">
        <f t="shared" si="8"/>
        <v>45</v>
      </c>
      <c r="AN43" s="73">
        <v>39</v>
      </c>
      <c r="AO43" s="74">
        <f t="shared" si="9"/>
        <v>39</v>
      </c>
      <c r="AP43" s="82">
        <v>47</v>
      </c>
      <c r="AQ43" s="74">
        <f t="shared" si="10"/>
        <v>1020</v>
      </c>
      <c r="AR43" s="41" t="s">
        <v>556</v>
      </c>
      <c r="AS43" s="42"/>
    </row>
    <row r="44" spans="1:45" ht="102.75" customHeight="1" x14ac:dyDescent="0.25">
      <c r="A44" s="44">
        <v>37</v>
      </c>
      <c r="B44" s="130">
        <v>180090105038</v>
      </c>
      <c r="C44" s="70">
        <v>180000100208</v>
      </c>
      <c r="D44" s="132" t="s">
        <v>318</v>
      </c>
      <c r="E44" s="46" t="s">
        <v>319</v>
      </c>
      <c r="F44" s="47"/>
      <c r="G44" s="73">
        <v>80</v>
      </c>
      <c r="H44" s="73">
        <v>71</v>
      </c>
      <c r="I44" s="74">
        <f t="shared" si="0"/>
        <v>151</v>
      </c>
      <c r="J44" s="73">
        <v>84</v>
      </c>
      <c r="K44" s="73">
        <v>58</v>
      </c>
      <c r="L44" s="74">
        <f t="shared" si="1"/>
        <v>142</v>
      </c>
      <c r="M44" s="73">
        <v>84</v>
      </c>
      <c r="N44" s="73">
        <v>70</v>
      </c>
      <c r="O44" s="74">
        <f t="shared" si="2"/>
        <v>154</v>
      </c>
      <c r="P44" s="73"/>
      <c r="Q44" s="73"/>
      <c r="R44" s="74"/>
      <c r="S44" s="68">
        <v>116</v>
      </c>
      <c r="T44" s="68">
        <v>62</v>
      </c>
      <c r="U44" s="74">
        <f t="shared" si="3"/>
        <v>178</v>
      </c>
      <c r="V44" s="73">
        <v>81</v>
      </c>
      <c r="W44" s="73">
        <v>59</v>
      </c>
      <c r="X44" s="74">
        <f t="shared" si="4"/>
        <v>140</v>
      </c>
      <c r="Y44" s="68"/>
      <c r="Z44" s="68"/>
      <c r="AA44" s="74"/>
      <c r="AB44" s="73">
        <v>86</v>
      </c>
      <c r="AC44" s="73">
        <v>54</v>
      </c>
      <c r="AD44" s="74">
        <f t="shared" si="5"/>
        <v>140</v>
      </c>
      <c r="AE44" s="73">
        <v>19</v>
      </c>
      <c r="AF44" s="73">
        <v>24</v>
      </c>
      <c r="AG44" s="74">
        <f t="shared" si="6"/>
        <v>43</v>
      </c>
      <c r="AH44" s="68">
        <v>20</v>
      </c>
      <c r="AI44" s="68">
        <v>22</v>
      </c>
      <c r="AJ44" s="74">
        <f t="shared" si="7"/>
        <v>42</v>
      </c>
      <c r="AK44" s="68">
        <v>17</v>
      </c>
      <c r="AL44" s="68">
        <v>22</v>
      </c>
      <c r="AM44" s="74">
        <f t="shared" si="8"/>
        <v>39</v>
      </c>
      <c r="AN44" s="73">
        <v>39</v>
      </c>
      <c r="AO44" s="74">
        <f t="shared" si="9"/>
        <v>39</v>
      </c>
      <c r="AP44" s="82">
        <v>47</v>
      </c>
      <c r="AQ44" s="74">
        <f t="shared" si="10"/>
        <v>1068</v>
      </c>
      <c r="AR44" s="41" t="s">
        <v>556</v>
      </c>
      <c r="AS44" s="42"/>
    </row>
    <row r="45" spans="1:45" ht="102.75" customHeight="1" x14ac:dyDescent="0.25">
      <c r="A45" s="44">
        <v>38</v>
      </c>
      <c r="B45" s="130">
        <v>180090105039</v>
      </c>
      <c r="C45" s="70">
        <v>180000100209</v>
      </c>
      <c r="D45" s="132" t="s">
        <v>320</v>
      </c>
      <c r="E45" s="46" t="s">
        <v>321</v>
      </c>
      <c r="F45" s="47"/>
      <c r="G45" s="73">
        <v>86</v>
      </c>
      <c r="H45" s="73">
        <v>70</v>
      </c>
      <c r="I45" s="74">
        <f t="shared" si="0"/>
        <v>156</v>
      </c>
      <c r="J45" s="73">
        <v>78</v>
      </c>
      <c r="K45" s="73">
        <v>62</v>
      </c>
      <c r="L45" s="74">
        <f t="shared" si="1"/>
        <v>140</v>
      </c>
      <c r="M45" s="73">
        <v>98</v>
      </c>
      <c r="N45" s="73">
        <v>69</v>
      </c>
      <c r="O45" s="74">
        <f t="shared" si="2"/>
        <v>167</v>
      </c>
      <c r="P45" s="73">
        <v>92</v>
      </c>
      <c r="Q45" s="73">
        <v>63</v>
      </c>
      <c r="R45" s="74">
        <f>SUM(P45:Q45)</f>
        <v>155</v>
      </c>
      <c r="S45" s="68"/>
      <c r="T45" s="114"/>
      <c r="U45" s="74"/>
      <c r="V45" s="73">
        <v>80</v>
      </c>
      <c r="W45" s="73">
        <v>56</v>
      </c>
      <c r="X45" s="74">
        <f t="shared" si="4"/>
        <v>136</v>
      </c>
      <c r="Y45" s="68"/>
      <c r="Z45" s="68"/>
      <c r="AA45" s="74"/>
      <c r="AB45" s="73">
        <v>84</v>
      </c>
      <c r="AC45" s="73">
        <v>55</v>
      </c>
      <c r="AD45" s="74">
        <f t="shared" si="5"/>
        <v>139</v>
      </c>
      <c r="AE45" s="73">
        <v>20</v>
      </c>
      <c r="AF45" s="73">
        <v>24</v>
      </c>
      <c r="AG45" s="74">
        <f t="shared" si="6"/>
        <v>44</v>
      </c>
      <c r="AH45" s="68">
        <v>19</v>
      </c>
      <c r="AI45" s="68">
        <v>23</v>
      </c>
      <c r="AJ45" s="74">
        <f t="shared" si="7"/>
        <v>42</v>
      </c>
      <c r="AK45" s="68">
        <v>23</v>
      </c>
      <c r="AL45" s="68">
        <v>23</v>
      </c>
      <c r="AM45" s="74">
        <f t="shared" si="8"/>
        <v>46</v>
      </c>
      <c r="AN45" s="73">
        <v>42</v>
      </c>
      <c r="AO45" s="74">
        <f t="shared" si="9"/>
        <v>42</v>
      </c>
      <c r="AP45" s="82">
        <v>47</v>
      </c>
      <c r="AQ45" s="74">
        <f t="shared" si="10"/>
        <v>1067</v>
      </c>
      <c r="AR45" s="41" t="s">
        <v>556</v>
      </c>
      <c r="AS45" s="42"/>
    </row>
    <row r="46" spans="1:45" ht="102.75" customHeight="1" x14ac:dyDescent="0.25">
      <c r="A46" s="44">
        <v>39</v>
      </c>
      <c r="B46" s="130">
        <v>180090105040</v>
      </c>
      <c r="C46" s="70">
        <v>180000100210</v>
      </c>
      <c r="D46" s="132" t="s">
        <v>322</v>
      </c>
      <c r="E46" s="46" t="s">
        <v>323</v>
      </c>
      <c r="F46" s="47"/>
      <c r="G46" s="73">
        <v>80</v>
      </c>
      <c r="H46" s="73">
        <v>71</v>
      </c>
      <c r="I46" s="74">
        <f t="shared" si="0"/>
        <v>151</v>
      </c>
      <c r="J46" s="73">
        <v>80</v>
      </c>
      <c r="K46" s="73">
        <v>55</v>
      </c>
      <c r="L46" s="74">
        <f t="shared" si="1"/>
        <v>135</v>
      </c>
      <c r="M46" s="73">
        <v>90</v>
      </c>
      <c r="N46" s="73">
        <v>70</v>
      </c>
      <c r="O46" s="74">
        <f t="shared" si="2"/>
        <v>160</v>
      </c>
      <c r="P46" s="73">
        <v>86</v>
      </c>
      <c r="Q46" s="73">
        <v>58</v>
      </c>
      <c r="R46" s="74">
        <f>SUM(P46:Q46)</f>
        <v>144</v>
      </c>
      <c r="S46" s="68"/>
      <c r="T46" s="114"/>
      <c r="U46" s="74"/>
      <c r="V46" s="73">
        <v>80</v>
      </c>
      <c r="W46" s="73">
        <v>56</v>
      </c>
      <c r="X46" s="74">
        <f t="shared" si="4"/>
        <v>136</v>
      </c>
      <c r="Y46" s="68"/>
      <c r="Z46" s="68"/>
      <c r="AA46" s="74"/>
      <c r="AB46" s="73">
        <v>84</v>
      </c>
      <c r="AC46" s="73">
        <v>52</v>
      </c>
      <c r="AD46" s="74">
        <f t="shared" si="5"/>
        <v>136</v>
      </c>
      <c r="AE46" s="73">
        <v>21</v>
      </c>
      <c r="AF46" s="73">
        <v>23</v>
      </c>
      <c r="AG46" s="74">
        <f t="shared" si="6"/>
        <v>44</v>
      </c>
      <c r="AH46" s="68">
        <v>20</v>
      </c>
      <c r="AI46" s="68">
        <v>23</v>
      </c>
      <c r="AJ46" s="74">
        <f t="shared" si="7"/>
        <v>43</v>
      </c>
      <c r="AK46" s="68">
        <v>23</v>
      </c>
      <c r="AL46" s="68">
        <v>23</v>
      </c>
      <c r="AM46" s="74">
        <f t="shared" si="8"/>
        <v>46</v>
      </c>
      <c r="AN46" s="73">
        <v>40</v>
      </c>
      <c r="AO46" s="74">
        <f t="shared" si="9"/>
        <v>40</v>
      </c>
      <c r="AP46" s="82">
        <v>45</v>
      </c>
      <c r="AQ46" s="74">
        <f t="shared" si="10"/>
        <v>1035</v>
      </c>
      <c r="AR46" s="41" t="s">
        <v>556</v>
      </c>
      <c r="AS46" s="42"/>
    </row>
    <row r="47" spans="1:45" ht="102.75" customHeight="1" x14ac:dyDescent="0.25">
      <c r="A47" s="44">
        <v>40</v>
      </c>
      <c r="B47" s="130">
        <v>180090105041</v>
      </c>
      <c r="C47" s="70">
        <v>180000100211</v>
      </c>
      <c r="D47" s="132" t="s">
        <v>324</v>
      </c>
      <c r="E47" s="46" t="s">
        <v>188</v>
      </c>
      <c r="F47" s="47"/>
      <c r="G47" s="73">
        <v>78</v>
      </c>
      <c r="H47" s="73">
        <v>68</v>
      </c>
      <c r="I47" s="74">
        <f t="shared" si="0"/>
        <v>146</v>
      </c>
      <c r="J47" s="73">
        <v>86</v>
      </c>
      <c r="K47" s="73">
        <v>57</v>
      </c>
      <c r="L47" s="74">
        <f t="shared" si="1"/>
        <v>143</v>
      </c>
      <c r="M47" s="73">
        <v>96</v>
      </c>
      <c r="N47" s="73">
        <v>69</v>
      </c>
      <c r="O47" s="74">
        <f t="shared" si="2"/>
        <v>165</v>
      </c>
      <c r="P47" s="73"/>
      <c r="Q47" s="73"/>
      <c r="R47" s="74"/>
      <c r="S47" s="68">
        <v>102</v>
      </c>
      <c r="T47" s="68">
        <v>59</v>
      </c>
      <c r="U47" s="74">
        <f t="shared" si="3"/>
        <v>161</v>
      </c>
      <c r="V47" s="73"/>
      <c r="W47" s="73"/>
      <c r="X47" s="74"/>
      <c r="Y47" s="68">
        <v>77</v>
      </c>
      <c r="Z47" s="68">
        <v>53</v>
      </c>
      <c r="AA47" s="74">
        <f>SUM(Y47:Z47)</f>
        <v>130</v>
      </c>
      <c r="AB47" s="73">
        <v>84</v>
      </c>
      <c r="AC47" s="73">
        <v>53</v>
      </c>
      <c r="AD47" s="74">
        <f t="shared" si="5"/>
        <v>137</v>
      </c>
      <c r="AE47" s="73">
        <v>23</v>
      </c>
      <c r="AF47" s="73">
        <v>20</v>
      </c>
      <c r="AG47" s="74">
        <f t="shared" si="6"/>
        <v>43</v>
      </c>
      <c r="AH47" s="68">
        <v>19</v>
      </c>
      <c r="AI47" s="68">
        <v>21</v>
      </c>
      <c r="AJ47" s="74">
        <f t="shared" si="7"/>
        <v>40</v>
      </c>
      <c r="AK47" s="68">
        <v>23</v>
      </c>
      <c r="AL47" s="68">
        <v>23</v>
      </c>
      <c r="AM47" s="74">
        <f t="shared" si="8"/>
        <v>46</v>
      </c>
      <c r="AN47" s="73">
        <v>41</v>
      </c>
      <c r="AO47" s="74">
        <f t="shared" si="9"/>
        <v>41</v>
      </c>
      <c r="AP47" s="82">
        <v>50</v>
      </c>
      <c r="AQ47" s="74">
        <f t="shared" si="10"/>
        <v>1052</v>
      </c>
      <c r="AR47" s="41" t="s">
        <v>556</v>
      </c>
      <c r="AS47" s="42"/>
    </row>
    <row r="48" spans="1:45" ht="102.75" customHeight="1" x14ac:dyDescent="0.25">
      <c r="A48" s="44">
        <v>41</v>
      </c>
      <c r="B48" s="130">
        <v>180090105042</v>
      </c>
      <c r="C48" s="70">
        <v>180000100212</v>
      </c>
      <c r="D48" s="133" t="s">
        <v>325</v>
      </c>
      <c r="E48" s="46" t="s">
        <v>326</v>
      </c>
      <c r="F48" s="47"/>
      <c r="G48" s="73">
        <v>82</v>
      </c>
      <c r="H48" s="73">
        <v>71</v>
      </c>
      <c r="I48" s="74">
        <f t="shared" si="0"/>
        <v>153</v>
      </c>
      <c r="J48" s="73">
        <v>80</v>
      </c>
      <c r="K48" s="73">
        <v>58</v>
      </c>
      <c r="L48" s="74">
        <f t="shared" si="1"/>
        <v>138</v>
      </c>
      <c r="M48" s="73">
        <v>108</v>
      </c>
      <c r="N48" s="73">
        <v>69</v>
      </c>
      <c r="O48" s="74">
        <f t="shared" si="2"/>
        <v>177</v>
      </c>
      <c r="P48" s="73"/>
      <c r="Q48" s="73"/>
      <c r="R48" s="74"/>
      <c r="S48" s="68">
        <v>116</v>
      </c>
      <c r="T48" s="68">
        <v>64</v>
      </c>
      <c r="U48" s="74">
        <f t="shared" si="3"/>
        <v>180</v>
      </c>
      <c r="V48" s="73">
        <v>80</v>
      </c>
      <c r="W48" s="73">
        <v>50</v>
      </c>
      <c r="X48" s="74">
        <f t="shared" si="4"/>
        <v>130</v>
      </c>
      <c r="Y48" s="68"/>
      <c r="Z48" s="68"/>
      <c r="AA48" s="74"/>
      <c r="AB48" s="73">
        <v>83</v>
      </c>
      <c r="AC48" s="73">
        <v>55</v>
      </c>
      <c r="AD48" s="74">
        <f t="shared" si="5"/>
        <v>138</v>
      </c>
      <c r="AE48" s="73">
        <v>23</v>
      </c>
      <c r="AF48" s="73">
        <v>18</v>
      </c>
      <c r="AG48" s="74">
        <f t="shared" si="6"/>
        <v>41</v>
      </c>
      <c r="AH48" s="68">
        <v>20</v>
      </c>
      <c r="AI48" s="68">
        <v>22</v>
      </c>
      <c r="AJ48" s="74">
        <f t="shared" si="7"/>
        <v>42</v>
      </c>
      <c r="AK48" s="68">
        <v>23</v>
      </c>
      <c r="AL48" s="68">
        <v>22</v>
      </c>
      <c r="AM48" s="74">
        <f t="shared" si="8"/>
        <v>45</v>
      </c>
      <c r="AN48" s="73">
        <v>42</v>
      </c>
      <c r="AO48" s="74">
        <f t="shared" si="9"/>
        <v>42</v>
      </c>
      <c r="AP48" s="82">
        <v>50</v>
      </c>
      <c r="AQ48" s="74">
        <f t="shared" si="10"/>
        <v>1086</v>
      </c>
      <c r="AR48" s="41" t="s">
        <v>556</v>
      </c>
      <c r="AS48" s="42"/>
    </row>
    <row r="49" spans="1:45" ht="102.75" customHeight="1" x14ac:dyDescent="0.25">
      <c r="A49" s="44">
        <v>42</v>
      </c>
      <c r="B49" s="130">
        <v>180090105043</v>
      </c>
      <c r="C49" s="70">
        <v>180000100213</v>
      </c>
      <c r="D49" s="132" t="s">
        <v>25</v>
      </c>
      <c r="E49" s="46" t="s">
        <v>33</v>
      </c>
      <c r="F49" s="47"/>
      <c r="G49" s="73">
        <v>72</v>
      </c>
      <c r="H49" s="73">
        <v>69</v>
      </c>
      <c r="I49" s="74">
        <f t="shared" si="0"/>
        <v>141</v>
      </c>
      <c r="J49" s="73">
        <v>78</v>
      </c>
      <c r="K49" s="73">
        <v>56</v>
      </c>
      <c r="L49" s="74">
        <f t="shared" si="1"/>
        <v>134</v>
      </c>
      <c r="M49" s="73">
        <v>104</v>
      </c>
      <c r="N49" s="73">
        <v>69</v>
      </c>
      <c r="O49" s="74">
        <f t="shared" si="2"/>
        <v>173</v>
      </c>
      <c r="P49" s="73"/>
      <c r="Q49" s="73"/>
      <c r="R49" s="74"/>
      <c r="S49" s="68">
        <v>112</v>
      </c>
      <c r="T49" s="68">
        <v>66</v>
      </c>
      <c r="U49" s="74">
        <f t="shared" si="3"/>
        <v>178</v>
      </c>
      <c r="V49" s="73">
        <v>71</v>
      </c>
      <c r="W49" s="73">
        <v>55</v>
      </c>
      <c r="X49" s="74">
        <f t="shared" si="4"/>
        <v>126</v>
      </c>
      <c r="Y49" s="68"/>
      <c r="Z49" s="68"/>
      <c r="AA49" s="74"/>
      <c r="AB49" s="73">
        <v>83</v>
      </c>
      <c r="AC49" s="73">
        <v>54</v>
      </c>
      <c r="AD49" s="74">
        <f t="shared" si="5"/>
        <v>137</v>
      </c>
      <c r="AE49" s="73">
        <v>17</v>
      </c>
      <c r="AF49" s="73">
        <v>18</v>
      </c>
      <c r="AG49" s="74">
        <f t="shared" si="6"/>
        <v>35</v>
      </c>
      <c r="AH49" s="68">
        <v>21</v>
      </c>
      <c r="AI49" s="68">
        <v>21</v>
      </c>
      <c r="AJ49" s="74">
        <f t="shared" si="7"/>
        <v>42</v>
      </c>
      <c r="AK49" s="68">
        <v>22</v>
      </c>
      <c r="AL49" s="68">
        <v>21</v>
      </c>
      <c r="AM49" s="74">
        <f t="shared" si="8"/>
        <v>43</v>
      </c>
      <c r="AN49" s="73">
        <v>39</v>
      </c>
      <c r="AO49" s="74">
        <f t="shared" si="9"/>
        <v>39</v>
      </c>
      <c r="AP49" s="82">
        <v>47</v>
      </c>
      <c r="AQ49" s="74">
        <f t="shared" si="10"/>
        <v>1048</v>
      </c>
      <c r="AR49" s="41" t="s">
        <v>556</v>
      </c>
      <c r="AS49" s="42"/>
    </row>
    <row r="50" spans="1:45" ht="102.75" customHeight="1" x14ac:dyDescent="0.25">
      <c r="A50" s="44">
        <v>43</v>
      </c>
      <c r="B50" s="130">
        <v>180090105044</v>
      </c>
      <c r="C50" s="70">
        <v>180000100214</v>
      </c>
      <c r="D50" s="133" t="s">
        <v>327</v>
      </c>
      <c r="E50" s="46" t="s">
        <v>328</v>
      </c>
      <c r="F50" s="47"/>
      <c r="G50" s="73">
        <v>76</v>
      </c>
      <c r="H50" s="73">
        <v>66</v>
      </c>
      <c r="I50" s="74">
        <f t="shared" si="0"/>
        <v>142</v>
      </c>
      <c r="J50" s="73">
        <v>84</v>
      </c>
      <c r="K50" s="73">
        <v>59</v>
      </c>
      <c r="L50" s="74">
        <f t="shared" si="1"/>
        <v>143</v>
      </c>
      <c r="M50" s="73">
        <v>100</v>
      </c>
      <c r="N50" s="73">
        <v>66</v>
      </c>
      <c r="O50" s="74">
        <f t="shared" si="2"/>
        <v>166</v>
      </c>
      <c r="P50" s="73"/>
      <c r="Q50" s="73"/>
      <c r="R50" s="74"/>
      <c r="S50" s="68">
        <v>112</v>
      </c>
      <c r="T50" s="68">
        <v>58</v>
      </c>
      <c r="U50" s="74">
        <f t="shared" si="3"/>
        <v>170</v>
      </c>
      <c r="V50" s="73"/>
      <c r="W50" s="73"/>
      <c r="X50" s="74"/>
      <c r="Y50" s="68">
        <v>77</v>
      </c>
      <c r="Z50" s="68">
        <v>48</v>
      </c>
      <c r="AA50" s="74">
        <f>SUM(Y50:Z50)</f>
        <v>125</v>
      </c>
      <c r="AB50" s="73">
        <v>81</v>
      </c>
      <c r="AC50" s="73">
        <v>55</v>
      </c>
      <c r="AD50" s="74">
        <f t="shared" si="5"/>
        <v>136</v>
      </c>
      <c r="AE50" s="73">
        <v>24</v>
      </c>
      <c r="AF50" s="73">
        <v>17</v>
      </c>
      <c r="AG50" s="74">
        <f t="shared" si="6"/>
        <v>41</v>
      </c>
      <c r="AH50" s="68">
        <v>21</v>
      </c>
      <c r="AI50" s="68">
        <v>19</v>
      </c>
      <c r="AJ50" s="74">
        <f t="shared" si="7"/>
        <v>40</v>
      </c>
      <c r="AK50" s="68">
        <v>22</v>
      </c>
      <c r="AL50" s="68">
        <v>21</v>
      </c>
      <c r="AM50" s="74">
        <f t="shared" si="8"/>
        <v>43</v>
      </c>
      <c r="AN50" s="73">
        <v>40</v>
      </c>
      <c r="AO50" s="74">
        <f t="shared" si="9"/>
        <v>40</v>
      </c>
      <c r="AP50" s="82">
        <v>47</v>
      </c>
      <c r="AQ50" s="74">
        <f t="shared" si="10"/>
        <v>1046</v>
      </c>
      <c r="AR50" s="41" t="s">
        <v>556</v>
      </c>
      <c r="AS50" s="42"/>
    </row>
    <row r="51" spans="1:45" ht="102.75" customHeight="1" x14ac:dyDescent="0.25">
      <c r="A51" s="44">
        <v>44</v>
      </c>
      <c r="B51" s="130">
        <v>180090105045</v>
      </c>
      <c r="C51" s="70">
        <v>180000100215</v>
      </c>
      <c r="D51" s="132" t="s">
        <v>329</v>
      </c>
      <c r="E51" s="46" t="s">
        <v>330</v>
      </c>
      <c r="F51" s="47"/>
      <c r="G51" s="73">
        <v>84</v>
      </c>
      <c r="H51" s="73">
        <v>71</v>
      </c>
      <c r="I51" s="74">
        <f t="shared" si="0"/>
        <v>155</v>
      </c>
      <c r="J51" s="73">
        <v>72</v>
      </c>
      <c r="K51" s="73">
        <v>62</v>
      </c>
      <c r="L51" s="74">
        <f t="shared" si="1"/>
        <v>134</v>
      </c>
      <c r="M51" s="73">
        <v>102</v>
      </c>
      <c r="N51" s="73">
        <v>68</v>
      </c>
      <c r="O51" s="74">
        <f t="shared" si="2"/>
        <v>170</v>
      </c>
      <c r="P51" s="73"/>
      <c r="Q51" s="73"/>
      <c r="R51" s="74"/>
      <c r="S51" s="68">
        <v>106</v>
      </c>
      <c r="T51" s="68">
        <v>66</v>
      </c>
      <c r="U51" s="74">
        <f t="shared" si="3"/>
        <v>172</v>
      </c>
      <c r="V51" s="73">
        <v>75</v>
      </c>
      <c r="W51" s="73">
        <v>51</v>
      </c>
      <c r="X51" s="74">
        <f t="shared" si="4"/>
        <v>126</v>
      </c>
      <c r="Y51" s="68"/>
      <c r="Z51" s="68"/>
      <c r="AA51" s="74"/>
      <c r="AB51" s="73">
        <v>77</v>
      </c>
      <c r="AC51" s="73">
        <v>54</v>
      </c>
      <c r="AD51" s="74">
        <f t="shared" si="5"/>
        <v>131</v>
      </c>
      <c r="AE51" s="73">
        <v>15</v>
      </c>
      <c r="AF51" s="73">
        <v>17</v>
      </c>
      <c r="AG51" s="74">
        <f t="shared" si="6"/>
        <v>32</v>
      </c>
      <c r="AH51" s="68">
        <v>17</v>
      </c>
      <c r="AI51" s="68">
        <v>22</v>
      </c>
      <c r="AJ51" s="74">
        <f t="shared" si="7"/>
        <v>39</v>
      </c>
      <c r="AK51" s="68">
        <v>23</v>
      </c>
      <c r="AL51" s="68">
        <v>22</v>
      </c>
      <c r="AM51" s="74">
        <f t="shared" si="8"/>
        <v>45</v>
      </c>
      <c r="AN51" s="73">
        <v>38</v>
      </c>
      <c r="AO51" s="74">
        <f t="shared" si="9"/>
        <v>38</v>
      </c>
      <c r="AP51" s="82">
        <v>47</v>
      </c>
      <c r="AQ51" s="74">
        <f t="shared" si="10"/>
        <v>1042</v>
      </c>
      <c r="AR51" s="41" t="s">
        <v>556</v>
      </c>
      <c r="AS51" s="42"/>
    </row>
    <row r="52" spans="1:45" ht="102.75" customHeight="1" x14ac:dyDescent="0.25">
      <c r="A52" s="44">
        <v>45</v>
      </c>
      <c r="B52" s="130">
        <v>180090105046</v>
      </c>
      <c r="C52" s="70">
        <v>180000100216</v>
      </c>
      <c r="D52" s="132" t="s">
        <v>331</v>
      </c>
      <c r="E52" s="46" t="s">
        <v>32</v>
      </c>
      <c r="F52" s="47"/>
      <c r="G52" s="73">
        <v>72</v>
      </c>
      <c r="H52" s="73">
        <v>66</v>
      </c>
      <c r="I52" s="74">
        <f t="shared" si="0"/>
        <v>138</v>
      </c>
      <c r="J52" s="73">
        <v>74</v>
      </c>
      <c r="K52" s="73">
        <v>58</v>
      </c>
      <c r="L52" s="74">
        <f t="shared" si="1"/>
        <v>132</v>
      </c>
      <c r="M52" s="73">
        <v>78</v>
      </c>
      <c r="N52" s="73">
        <v>66</v>
      </c>
      <c r="O52" s="74">
        <f t="shared" si="2"/>
        <v>144</v>
      </c>
      <c r="P52" s="73"/>
      <c r="Q52" s="73"/>
      <c r="R52" s="74"/>
      <c r="S52" s="68">
        <v>112</v>
      </c>
      <c r="T52" s="68">
        <v>56</v>
      </c>
      <c r="U52" s="74">
        <f t="shared" si="3"/>
        <v>168</v>
      </c>
      <c r="V52" s="73">
        <v>62</v>
      </c>
      <c r="W52" s="73">
        <v>48</v>
      </c>
      <c r="X52" s="74">
        <f t="shared" si="4"/>
        <v>110</v>
      </c>
      <c r="Y52" s="68"/>
      <c r="Z52" s="68"/>
      <c r="AA52" s="74"/>
      <c r="AB52" s="73">
        <v>63</v>
      </c>
      <c r="AC52" s="73">
        <v>53</v>
      </c>
      <c r="AD52" s="74">
        <f t="shared" si="5"/>
        <v>116</v>
      </c>
      <c r="AE52" s="73">
        <v>17</v>
      </c>
      <c r="AF52" s="73">
        <v>18</v>
      </c>
      <c r="AG52" s="74">
        <f t="shared" si="6"/>
        <v>35</v>
      </c>
      <c r="AH52" s="68">
        <v>20</v>
      </c>
      <c r="AI52" s="68">
        <v>17</v>
      </c>
      <c r="AJ52" s="74">
        <f t="shared" si="7"/>
        <v>37</v>
      </c>
      <c r="AK52" s="68">
        <v>20</v>
      </c>
      <c r="AL52" s="68">
        <v>22</v>
      </c>
      <c r="AM52" s="74">
        <f t="shared" si="8"/>
        <v>42</v>
      </c>
      <c r="AN52" s="73">
        <v>38</v>
      </c>
      <c r="AO52" s="74">
        <f t="shared" si="9"/>
        <v>38</v>
      </c>
      <c r="AP52" s="82">
        <v>47</v>
      </c>
      <c r="AQ52" s="74">
        <f t="shared" si="10"/>
        <v>960</v>
      </c>
      <c r="AR52" s="41" t="s">
        <v>556</v>
      </c>
      <c r="AS52" s="42"/>
    </row>
    <row r="53" spans="1:45" ht="102.75" customHeight="1" x14ac:dyDescent="0.25">
      <c r="A53" s="44">
        <v>46</v>
      </c>
      <c r="B53" s="130">
        <v>180090105047</v>
      </c>
      <c r="C53" s="70">
        <v>180000100217</v>
      </c>
      <c r="D53" s="133" t="s">
        <v>332</v>
      </c>
      <c r="E53" s="46" t="s">
        <v>333</v>
      </c>
      <c r="F53" s="47"/>
      <c r="G53" s="73">
        <v>76</v>
      </c>
      <c r="H53" s="73">
        <v>66</v>
      </c>
      <c r="I53" s="74">
        <f t="shared" si="0"/>
        <v>142</v>
      </c>
      <c r="J53" s="73">
        <v>64</v>
      </c>
      <c r="K53" s="73">
        <v>58</v>
      </c>
      <c r="L53" s="74">
        <f t="shared" si="1"/>
        <v>122</v>
      </c>
      <c r="M53" s="73">
        <v>78</v>
      </c>
      <c r="N53" s="73">
        <v>69</v>
      </c>
      <c r="O53" s="74">
        <f t="shared" si="2"/>
        <v>147</v>
      </c>
      <c r="P53" s="73"/>
      <c r="Q53" s="73"/>
      <c r="R53" s="74"/>
      <c r="S53" s="68">
        <v>118</v>
      </c>
      <c r="T53" s="68">
        <v>65</v>
      </c>
      <c r="U53" s="74">
        <f t="shared" si="3"/>
        <v>183</v>
      </c>
      <c r="V53" s="73">
        <v>77</v>
      </c>
      <c r="W53" s="73">
        <v>51</v>
      </c>
      <c r="X53" s="74">
        <f t="shared" si="4"/>
        <v>128</v>
      </c>
      <c r="Y53" s="68"/>
      <c r="Z53" s="68"/>
      <c r="AA53" s="74"/>
      <c r="AB53" s="73">
        <v>78</v>
      </c>
      <c r="AC53" s="73">
        <v>54</v>
      </c>
      <c r="AD53" s="74">
        <f t="shared" si="5"/>
        <v>132</v>
      </c>
      <c r="AE53" s="73">
        <v>23</v>
      </c>
      <c r="AF53" s="73">
        <v>22</v>
      </c>
      <c r="AG53" s="74">
        <f t="shared" si="6"/>
        <v>45</v>
      </c>
      <c r="AH53" s="68">
        <v>18</v>
      </c>
      <c r="AI53" s="68">
        <v>19</v>
      </c>
      <c r="AJ53" s="74">
        <f t="shared" si="7"/>
        <v>37</v>
      </c>
      <c r="AK53" s="68">
        <v>23</v>
      </c>
      <c r="AL53" s="68">
        <v>23</v>
      </c>
      <c r="AM53" s="74">
        <f t="shared" si="8"/>
        <v>46</v>
      </c>
      <c r="AN53" s="73">
        <v>39</v>
      </c>
      <c r="AO53" s="74">
        <f t="shared" si="9"/>
        <v>39</v>
      </c>
      <c r="AP53" s="82">
        <v>45</v>
      </c>
      <c r="AQ53" s="74">
        <f t="shared" si="10"/>
        <v>1021</v>
      </c>
      <c r="AR53" s="41" t="s">
        <v>556</v>
      </c>
      <c r="AS53" s="42"/>
    </row>
    <row r="54" spans="1:45" ht="102.75" customHeight="1" x14ac:dyDescent="0.25">
      <c r="A54" s="44">
        <v>47</v>
      </c>
      <c r="B54" s="130">
        <v>180090105048</v>
      </c>
      <c r="C54" s="70">
        <v>180000100218</v>
      </c>
      <c r="D54" s="132" t="s">
        <v>334</v>
      </c>
      <c r="E54" s="46" t="s">
        <v>335</v>
      </c>
      <c r="F54" s="47"/>
      <c r="G54" s="73">
        <v>76</v>
      </c>
      <c r="H54" s="73">
        <v>63</v>
      </c>
      <c r="I54" s="74">
        <f t="shared" si="0"/>
        <v>139</v>
      </c>
      <c r="J54" s="73">
        <v>68</v>
      </c>
      <c r="K54" s="73">
        <v>49</v>
      </c>
      <c r="L54" s="74">
        <f t="shared" si="1"/>
        <v>117</v>
      </c>
      <c r="M54" s="73">
        <v>76</v>
      </c>
      <c r="N54" s="73">
        <v>63</v>
      </c>
      <c r="O54" s="74">
        <f t="shared" si="2"/>
        <v>139</v>
      </c>
      <c r="P54" s="73">
        <v>92</v>
      </c>
      <c r="Q54" s="73">
        <v>47</v>
      </c>
      <c r="R54" s="74">
        <f>SUM(P54:Q54)</f>
        <v>139</v>
      </c>
      <c r="S54" s="68"/>
      <c r="T54" s="114"/>
      <c r="U54" s="74"/>
      <c r="V54" s="73">
        <v>77</v>
      </c>
      <c r="W54" s="73">
        <v>41</v>
      </c>
      <c r="X54" s="74">
        <f t="shared" si="4"/>
        <v>118</v>
      </c>
      <c r="Y54" s="68"/>
      <c r="Z54" s="68"/>
      <c r="AA54" s="74"/>
      <c r="AB54" s="73">
        <v>75</v>
      </c>
      <c r="AC54" s="73">
        <v>48</v>
      </c>
      <c r="AD54" s="74">
        <f t="shared" si="5"/>
        <v>123</v>
      </c>
      <c r="AE54" s="73">
        <v>20</v>
      </c>
      <c r="AF54" s="73">
        <v>16</v>
      </c>
      <c r="AG54" s="74">
        <f t="shared" si="6"/>
        <v>36</v>
      </c>
      <c r="AH54" s="68">
        <v>18</v>
      </c>
      <c r="AI54" s="68">
        <v>22</v>
      </c>
      <c r="AJ54" s="74">
        <f t="shared" si="7"/>
        <v>40</v>
      </c>
      <c r="AK54" s="68">
        <v>22</v>
      </c>
      <c r="AL54" s="68">
        <v>22</v>
      </c>
      <c r="AM54" s="74">
        <f t="shared" si="8"/>
        <v>44</v>
      </c>
      <c r="AN54" s="73">
        <v>40</v>
      </c>
      <c r="AO54" s="74">
        <f t="shared" si="9"/>
        <v>40</v>
      </c>
      <c r="AP54" s="82">
        <v>47</v>
      </c>
      <c r="AQ54" s="74">
        <f t="shared" si="10"/>
        <v>935</v>
      </c>
      <c r="AR54" s="41" t="s">
        <v>556</v>
      </c>
      <c r="AS54" s="42"/>
    </row>
    <row r="55" spans="1:45" ht="102.75" customHeight="1" x14ac:dyDescent="0.25">
      <c r="A55" s="44">
        <v>48</v>
      </c>
      <c r="B55" s="130">
        <v>180090105049</v>
      </c>
      <c r="C55" s="70">
        <v>180000100219</v>
      </c>
      <c r="D55" s="132" t="s">
        <v>336</v>
      </c>
      <c r="E55" s="46" t="s">
        <v>337</v>
      </c>
      <c r="F55" s="47"/>
      <c r="G55" s="73">
        <v>76</v>
      </c>
      <c r="H55" s="73">
        <v>67</v>
      </c>
      <c r="I55" s="74">
        <f t="shared" si="0"/>
        <v>143</v>
      </c>
      <c r="J55" s="73">
        <v>74</v>
      </c>
      <c r="K55" s="73">
        <v>56</v>
      </c>
      <c r="L55" s="74">
        <f t="shared" si="1"/>
        <v>130</v>
      </c>
      <c r="M55" s="73">
        <v>88</v>
      </c>
      <c r="N55" s="73">
        <v>67</v>
      </c>
      <c r="O55" s="74">
        <f t="shared" si="2"/>
        <v>155</v>
      </c>
      <c r="P55" s="73"/>
      <c r="Q55" s="73"/>
      <c r="R55" s="74"/>
      <c r="S55" s="68">
        <v>90</v>
      </c>
      <c r="T55" s="68">
        <v>65</v>
      </c>
      <c r="U55" s="74">
        <f t="shared" si="3"/>
        <v>155</v>
      </c>
      <c r="V55" s="73">
        <v>62</v>
      </c>
      <c r="W55" s="73">
        <v>56</v>
      </c>
      <c r="X55" s="74">
        <f t="shared" si="4"/>
        <v>118</v>
      </c>
      <c r="Y55" s="68"/>
      <c r="Z55" s="68"/>
      <c r="AA55" s="74"/>
      <c r="AB55" s="73">
        <v>74</v>
      </c>
      <c r="AC55" s="73">
        <v>52</v>
      </c>
      <c r="AD55" s="74">
        <f t="shared" si="5"/>
        <v>126</v>
      </c>
      <c r="AE55" s="73">
        <v>16</v>
      </c>
      <c r="AF55" s="73">
        <v>21</v>
      </c>
      <c r="AG55" s="74">
        <f t="shared" si="6"/>
        <v>37</v>
      </c>
      <c r="AH55" s="68">
        <v>21</v>
      </c>
      <c r="AI55" s="68">
        <v>22</v>
      </c>
      <c r="AJ55" s="74">
        <f t="shared" si="7"/>
        <v>43</v>
      </c>
      <c r="AK55" s="68">
        <v>21</v>
      </c>
      <c r="AL55" s="68">
        <v>23</v>
      </c>
      <c r="AM55" s="74">
        <f t="shared" si="8"/>
        <v>44</v>
      </c>
      <c r="AN55" s="73">
        <v>41</v>
      </c>
      <c r="AO55" s="74">
        <f t="shared" si="9"/>
        <v>41</v>
      </c>
      <c r="AP55" s="82">
        <v>47</v>
      </c>
      <c r="AQ55" s="74">
        <f t="shared" si="10"/>
        <v>992</v>
      </c>
      <c r="AR55" s="41" t="s">
        <v>556</v>
      </c>
      <c r="AS55" s="42"/>
    </row>
    <row r="56" spans="1:45" ht="102.75" customHeight="1" x14ac:dyDescent="0.25">
      <c r="A56" s="44">
        <v>49</v>
      </c>
      <c r="B56" s="130">
        <v>180090105050</v>
      </c>
      <c r="C56" s="70">
        <v>180000100220</v>
      </c>
      <c r="D56" s="132" t="s">
        <v>338</v>
      </c>
      <c r="E56" s="46" t="s">
        <v>339</v>
      </c>
      <c r="F56" s="47"/>
      <c r="G56" s="73">
        <v>78</v>
      </c>
      <c r="H56" s="73">
        <v>68</v>
      </c>
      <c r="I56" s="74">
        <f t="shared" si="0"/>
        <v>146</v>
      </c>
      <c r="J56" s="73">
        <v>70</v>
      </c>
      <c r="K56" s="73">
        <v>60</v>
      </c>
      <c r="L56" s="74">
        <f t="shared" si="1"/>
        <v>130</v>
      </c>
      <c r="M56" s="73">
        <v>88</v>
      </c>
      <c r="N56" s="73">
        <v>69</v>
      </c>
      <c r="O56" s="74">
        <f t="shared" si="2"/>
        <v>157</v>
      </c>
      <c r="P56" s="73"/>
      <c r="Q56" s="73"/>
      <c r="R56" s="74"/>
      <c r="S56" s="68">
        <v>114</v>
      </c>
      <c r="T56" s="68">
        <v>68</v>
      </c>
      <c r="U56" s="74">
        <f t="shared" si="3"/>
        <v>182</v>
      </c>
      <c r="V56" s="73"/>
      <c r="W56" s="73"/>
      <c r="X56" s="74"/>
      <c r="Y56" s="68">
        <v>71</v>
      </c>
      <c r="Z56" s="68">
        <v>52</v>
      </c>
      <c r="AA56" s="74">
        <f>SUM(Y56:Z56)</f>
        <v>123</v>
      </c>
      <c r="AB56" s="73">
        <v>86</v>
      </c>
      <c r="AC56" s="73">
        <v>55</v>
      </c>
      <c r="AD56" s="74">
        <f t="shared" si="5"/>
        <v>141</v>
      </c>
      <c r="AE56" s="73">
        <v>22</v>
      </c>
      <c r="AF56" s="73">
        <v>18</v>
      </c>
      <c r="AG56" s="74">
        <f t="shared" si="6"/>
        <v>40</v>
      </c>
      <c r="AH56" s="68">
        <v>19</v>
      </c>
      <c r="AI56" s="68">
        <v>22</v>
      </c>
      <c r="AJ56" s="74">
        <f t="shared" si="7"/>
        <v>41</v>
      </c>
      <c r="AK56" s="68">
        <v>24</v>
      </c>
      <c r="AL56" s="68">
        <v>23</v>
      </c>
      <c r="AM56" s="74">
        <f t="shared" si="8"/>
        <v>47</v>
      </c>
      <c r="AN56" s="73">
        <v>41</v>
      </c>
      <c r="AO56" s="74">
        <f t="shared" si="9"/>
        <v>41</v>
      </c>
      <c r="AP56" s="82">
        <v>47</v>
      </c>
      <c r="AQ56" s="74">
        <f t="shared" si="10"/>
        <v>1048</v>
      </c>
      <c r="AR56" s="41" t="s">
        <v>556</v>
      </c>
      <c r="AS56" s="42"/>
    </row>
    <row r="57" spans="1:45" ht="102.75" customHeight="1" x14ac:dyDescent="0.25">
      <c r="A57" s="44">
        <v>50</v>
      </c>
      <c r="B57" s="130">
        <v>180090105051</v>
      </c>
      <c r="C57" s="70">
        <v>180000100221</v>
      </c>
      <c r="D57" s="132" t="s">
        <v>340</v>
      </c>
      <c r="E57" s="46" t="s">
        <v>341</v>
      </c>
      <c r="F57" s="47"/>
      <c r="G57" s="73">
        <v>68</v>
      </c>
      <c r="H57" s="73">
        <v>63</v>
      </c>
      <c r="I57" s="74">
        <f t="shared" si="0"/>
        <v>131</v>
      </c>
      <c r="J57" s="73">
        <v>78</v>
      </c>
      <c r="K57" s="73">
        <v>60</v>
      </c>
      <c r="L57" s="74">
        <f t="shared" si="1"/>
        <v>138</v>
      </c>
      <c r="M57" s="73">
        <v>90</v>
      </c>
      <c r="N57" s="73">
        <v>70</v>
      </c>
      <c r="O57" s="74">
        <f t="shared" si="2"/>
        <v>160</v>
      </c>
      <c r="P57" s="73"/>
      <c r="Q57" s="73"/>
      <c r="R57" s="74"/>
      <c r="S57" s="68">
        <v>116</v>
      </c>
      <c r="T57" s="68">
        <v>51</v>
      </c>
      <c r="U57" s="74">
        <f t="shared" si="3"/>
        <v>167</v>
      </c>
      <c r="V57" s="73"/>
      <c r="W57" s="73"/>
      <c r="X57" s="74"/>
      <c r="Y57" s="68">
        <v>74</v>
      </c>
      <c r="Z57" s="68">
        <v>49</v>
      </c>
      <c r="AA57" s="74">
        <f>SUM(Y57:Z57)</f>
        <v>123</v>
      </c>
      <c r="AB57" s="73">
        <v>81</v>
      </c>
      <c r="AC57" s="73">
        <v>52</v>
      </c>
      <c r="AD57" s="74">
        <f t="shared" si="5"/>
        <v>133</v>
      </c>
      <c r="AE57" s="73">
        <v>20</v>
      </c>
      <c r="AF57" s="73">
        <v>15</v>
      </c>
      <c r="AG57" s="74">
        <f t="shared" si="6"/>
        <v>35</v>
      </c>
      <c r="AH57" s="68">
        <v>21</v>
      </c>
      <c r="AI57" s="68">
        <v>21</v>
      </c>
      <c r="AJ57" s="74">
        <f t="shared" si="7"/>
        <v>42</v>
      </c>
      <c r="AK57" s="68">
        <v>21</v>
      </c>
      <c r="AL57" s="68">
        <v>23</v>
      </c>
      <c r="AM57" s="74">
        <f t="shared" si="8"/>
        <v>44</v>
      </c>
      <c r="AN57" s="73">
        <v>41</v>
      </c>
      <c r="AO57" s="74">
        <f t="shared" si="9"/>
        <v>41</v>
      </c>
      <c r="AP57" s="82">
        <v>47</v>
      </c>
      <c r="AQ57" s="74">
        <f t="shared" si="10"/>
        <v>1014</v>
      </c>
      <c r="AR57" s="41" t="s">
        <v>556</v>
      </c>
      <c r="AS57" s="42"/>
    </row>
    <row r="58" spans="1:45" ht="102.75" customHeight="1" x14ac:dyDescent="0.25">
      <c r="A58" s="44">
        <v>51</v>
      </c>
      <c r="B58" s="130">
        <v>180090105052</v>
      </c>
      <c r="C58" s="70">
        <v>180000100222</v>
      </c>
      <c r="D58" s="132" t="s">
        <v>342</v>
      </c>
      <c r="E58" s="46" t="s">
        <v>343</v>
      </c>
      <c r="F58" s="47"/>
      <c r="G58" s="73">
        <v>64</v>
      </c>
      <c r="H58" s="73">
        <v>66</v>
      </c>
      <c r="I58" s="74">
        <f t="shared" si="0"/>
        <v>130</v>
      </c>
      <c r="J58" s="73">
        <v>68</v>
      </c>
      <c r="K58" s="73">
        <v>59</v>
      </c>
      <c r="L58" s="74">
        <f t="shared" si="1"/>
        <v>127</v>
      </c>
      <c r="M58" s="73">
        <v>72</v>
      </c>
      <c r="N58" s="73">
        <v>68</v>
      </c>
      <c r="O58" s="74">
        <f t="shared" si="2"/>
        <v>140</v>
      </c>
      <c r="P58" s="73"/>
      <c r="Q58" s="73"/>
      <c r="R58" s="74"/>
      <c r="S58" s="68">
        <v>106</v>
      </c>
      <c r="T58" s="68">
        <v>59</v>
      </c>
      <c r="U58" s="74">
        <f t="shared" si="3"/>
        <v>165</v>
      </c>
      <c r="V58" s="73">
        <v>68</v>
      </c>
      <c r="W58" s="73">
        <v>49</v>
      </c>
      <c r="X58" s="74">
        <f t="shared" si="4"/>
        <v>117</v>
      </c>
      <c r="Y58" s="68"/>
      <c r="Z58" s="68"/>
      <c r="AA58" s="74"/>
      <c r="AB58" s="73">
        <v>75</v>
      </c>
      <c r="AC58" s="73">
        <v>52</v>
      </c>
      <c r="AD58" s="74">
        <f t="shared" si="5"/>
        <v>127</v>
      </c>
      <c r="AE58" s="73">
        <v>16</v>
      </c>
      <c r="AF58" s="73">
        <v>15</v>
      </c>
      <c r="AG58" s="74">
        <f t="shared" si="6"/>
        <v>31</v>
      </c>
      <c r="AH58" s="68">
        <v>17</v>
      </c>
      <c r="AI58" s="68">
        <v>18</v>
      </c>
      <c r="AJ58" s="74">
        <f t="shared" si="7"/>
        <v>35</v>
      </c>
      <c r="AK58" s="68">
        <v>19</v>
      </c>
      <c r="AL58" s="68">
        <v>22</v>
      </c>
      <c r="AM58" s="74">
        <f t="shared" si="8"/>
        <v>41</v>
      </c>
      <c r="AN58" s="73">
        <v>38</v>
      </c>
      <c r="AO58" s="74">
        <f t="shared" si="9"/>
        <v>38</v>
      </c>
      <c r="AP58" s="111">
        <v>47</v>
      </c>
      <c r="AQ58" s="74">
        <f t="shared" si="10"/>
        <v>951</v>
      </c>
      <c r="AR58" s="41" t="s">
        <v>556</v>
      </c>
      <c r="AS58" s="42"/>
    </row>
    <row r="59" spans="1:45" ht="102.75" customHeight="1" x14ac:dyDescent="0.25">
      <c r="A59" s="44">
        <v>52</v>
      </c>
      <c r="B59" s="130">
        <v>180090105053</v>
      </c>
      <c r="C59" s="70">
        <v>180000100223</v>
      </c>
      <c r="D59" s="133" t="s">
        <v>344</v>
      </c>
      <c r="E59" s="46" t="s">
        <v>345</v>
      </c>
      <c r="F59" s="26"/>
      <c r="G59" s="73">
        <v>74</v>
      </c>
      <c r="H59" s="73">
        <v>68</v>
      </c>
      <c r="I59" s="74">
        <f t="shared" si="0"/>
        <v>142</v>
      </c>
      <c r="J59" s="73">
        <v>80</v>
      </c>
      <c r="K59" s="73">
        <v>57</v>
      </c>
      <c r="L59" s="74">
        <f t="shared" si="1"/>
        <v>137</v>
      </c>
      <c r="M59" s="73">
        <v>88</v>
      </c>
      <c r="N59" s="73">
        <v>67</v>
      </c>
      <c r="O59" s="74">
        <f t="shared" si="2"/>
        <v>155</v>
      </c>
      <c r="P59" s="73">
        <v>96</v>
      </c>
      <c r="Q59" s="73">
        <v>55</v>
      </c>
      <c r="R59" s="74">
        <f>SUM(P59:Q59)</f>
        <v>151</v>
      </c>
      <c r="S59" s="68"/>
      <c r="T59" s="114"/>
      <c r="U59" s="74"/>
      <c r="V59" s="73">
        <v>78</v>
      </c>
      <c r="W59" s="73">
        <v>51</v>
      </c>
      <c r="X59" s="74">
        <f t="shared" si="4"/>
        <v>129</v>
      </c>
      <c r="Y59" s="68"/>
      <c r="Z59" s="68"/>
      <c r="AA59" s="74"/>
      <c r="AB59" s="73">
        <v>83</v>
      </c>
      <c r="AC59" s="73">
        <v>54</v>
      </c>
      <c r="AD59" s="74">
        <f t="shared" si="5"/>
        <v>137</v>
      </c>
      <c r="AE59" s="73">
        <v>23</v>
      </c>
      <c r="AF59" s="73">
        <v>16</v>
      </c>
      <c r="AG59" s="74">
        <f t="shared" si="6"/>
        <v>39</v>
      </c>
      <c r="AH59" s="68">
        <v>19</v>
      </c>
      <c r="AI59" s="68">
        <v>22</v>
      </c>
      <c r="AJ59" s="74">
        <f t="shared" si="7"/>
        <v>41</v>
      </c>
      <c r="AK59" s="68">
        <v>23</v>
      </c>
      <c r="AL59" s="68">
        <v>22</v>
      </c>
      <c r="AM59" s="74">
        <f t="shared" si="8"/>
        <v>45</v>
      </c>
      <c r="AN59" s="73">
        <v>38</v>
      </c>
      <c r="AO59" s="74">
        <f t="shared" si="9"/>
        <v>38</v>
      </c>
      <c r="AP59" s="82">
        <v>45</v>
      </c>
      <c r="AQ59" s="74">
        <f t="shared" si="10"/>
        <v>1014</v>
      </c>
      <c r="AR59" s="41" t="s">
        <v>556</v>
      </c>
      <c r="AS59" s="42"/>
    </row>
    <row r="60" spans="1:45" ht="102.75" customHeight="1" x14ac:dyDescent="0.25">
      <c r="A60" s="44">
        <v>53</v>
      </c>
      <c r="B60" s="130">
        <v>180090105054</v>
      </c>
      <c r="C60" s="70">
        <v>180000100224</v>
      </c>
      <c r="D60" s="133" t="s">
        <v>346</v>
      </c>
      <c r="E60" s="46" t="s">
        <v>347</v>
      </c>
      <c r="F60" s="26"/>
      <c r="G60" s="73">
        <v>80</v>
      </c>
      <c r="H60" s="73">
        <v>66</v>
      </c>
      <c r="I60" s="74">
        <f t="shared" si="0"/>
        <v>146</v>
      </c>
      <c r="J60" s="73">
        <v>62</v>
      </c>
      <c r="K60" s="73">
        <v>62</v>
      </c>
      <c r="L60" s="74">
        <f t="shared" si="1"/>
        <v>124</v>
      </c>
      <c r="M60" s="73">
        <v>68</v>
      </c>
      <c r="N60" s="73">
        <v>58</v>
      </c>
      <c r="O60" s="74">
        <f t="shared" si="2"/>
        <v>126</v>
      </c>
      <c r="P60" s="73">
        <v>94</v>
      </c>
      <c r="Q60" s="73">
        <v>53</v>
      </c>
      <c r="R60" s="74">
        <f>SUM(P60:Q60)</f>
        <v>147</v>
      </c>
      <c r="S60" s="68"/>
      <c r="T60" s="114"/>
      <c r="U60" s="74"/>
      <c r="V60" s="73">
        <v>44</v>
      </c>
      <c r="W60" s="73">
        <v>42</v>
      </c>
      <c r="X60" s="74">
        <f t="shared" si="4"/>
        <v>86</v>
      </c>
      <c r="Y60" s="68"/>
      <c r="Z60" s="68"/>
      <c r="AA60" s="74"/>
      <c r="AB60" s="73">
        <v>54</v>
      </c>
      <c r="AC60" s="73">
        <v>50</v>
      </c>
      <c r="AD60" s="74">
        <f t="shared" si="5"/>
        <v>104</v>
      </c>
      <c r="AE60" s="73">
        <v>21</v>
      </c>
      <c r="AF60" s="73">
        <v>21</v>
      </c>
      <c r="AG60" s="74">
        <f t="shared" si="6"/>
        <v>42</v>
      </c>
      <c r="AH60" s="68">
        <v>20</v>
      </c>
      <c r="AI60" s="68">
        <v>21</v>
      </c>
      <c r="AJ60" s="74">
        <f t="shared" si="7"/>
        <v>41</v>
      </c>
      <c r="AK60" s="68">
        <v>22</v>
      </c>
      <c r="AL60" s="68">
        <v>23</v>
      </c>
      <c r="AM60" s="74">
        <f t="shared" si="8"/>
        <v>45</v>
      </c>
      <c r="AN60" s="73">
        <v>43</v>
      </c>
      <c r="AO60" s="74">
        <f t="shared" si="9"/>
        <v>43</v>
      </c>
      <c r="AP60" s="82">
        <v>50</v>
      </c>
      <c r="AQ60" s="74">
        <f t="shared" si="10"/>
        <v>904</v>
      </c>
      <c r="AR60" s="41" t="s">
        <v>556</v>
      </c>
      <c r="AS60" s="42"/>
    </row>
    <row r="61" spans="1:45" ht="102.75" customHeight="1" x14ac:dyDescent="0.4">
      <c r="A61" s="44">
        <v>54</v>
      </c>
      <c r="B61" s="130">
        <v>180090105055</v>
      </c>
      <c r="C61" s="70">
        <v>180000100225</v>
      </c>
      <c r="D61" s="134" t="s">
        <v>348</v>
      </c>
      <c r="E61" s="108" t="s">
        <v>349</v>
      </c>
      <c r="F61" s="109"/>
      <c r="G61" s="73">
        <v>80</v>
      </c>
      <c r="H61" s="73">
        <v>65</v>
      </c>
      <c r="I61" s="74">
        <f t="shared" si="0"/>
        <v>145</v>
      </c>
      <c r="J61" s="73">
        <v>70</v>
      </c>
      <c r="K61" s="73">
        <v>59</v>
      </c>
      <c r="L61" s="74">
        <f t="shared" si="1"/>
        <v>129</v>
      </c>
      <c r="M61" s="73">
        <v>90</v>
      </c>
      <c r="N61" s="73">
        <v>68</v>
      </c>
      <c r="O61" s="74">
        <f t="shared" si="2"/>
        <v>158</v>
      </c>
      <c r="P61" s="73">
        <v>80</v>
      </c>
      <c r="Q61" s="73">
        <v>59</v>
      </c>
      <c r="R61" s="74">
        <f>SUM(P61:Q61)</f>
        <v>139</v>
      </c>
      <c r="S61" s="68"/>
      <c r="T61" s="68"/>
      <c r="U61" s="74"/>
      <c r="V61" s="73">
        <v>74</v>
      </c>
      <c r="W61" s="73">
        <v>48</v>
      </c>
      <c r="X61" s="74">
        <f t="shared" si="4"/>
        <v>122</v>
      </c>
      <c r="Y61" s="68"/>
      <c r="Z61" s="68"/>
      <c r="AA61" s="74"/>
      <c r="AB61" s="73">
        <v>80</v>
      </c>
      <c r="AC61" s="73">
        <v>54</v>
      </c>
      <c r="AD61" s="74">
        <f t="shared" si="5"/>
        <v>134</v>
      </c>
      <c r="AE61" s="73">
        <v>22</v>
      </c>
      <c r="AF61" s="73">
        <v>17</v>
      </c>
      <c r="AG61" s="74">
        <f t="shared" si="6"/>
        <v>39</v>
      </c>
      <c r="AH61" s="68">
        <v>20</v>
      </c>
      <c r="AI61" s="68">
        <v>23</v>
      </c>
      <c r="AJ61" s="74">
        <f t="shared" si="7"/>
        <v>43</v>
      </c>
      <c r="AK61" s="68">
        <v>21</v>
      </c>
      <c r="AL61" s="68">
        <v>22</v>
      </c>
      <c r="AM61" s="74">
        <f t="shared" si="8"/>
        <v>43</v>
      </c>
      <c r="AN61" s="73">
        <v>43</v>
      </c>
      <c r="AO61" s="74">
        <f t="shared" si="9"/>
        <v>43</v>
      </c>
      <c r="AP61" s="82">
        <v>50</v>
      </c>
      <c r="AQ61" s="74">
        <f t="shared" si="10"/>
        <v>995</v>
      </c>
      <c r="AR61" s="41" t="s">
        <v>556</v>
      </c>
      <c r="AS61" s="42"/>
    </row>
    <row r="62" spans="1:45" ht="102.75" customHeight="1" x14ac:dyDescent="0.25">
      <c r="A62" s="44">
        <v>55</v>
      </c>
      <c r="B62" s="130">
        <v>180090105056</v>
      </c>
      <c r="C62" s="70">
        <v>180000100226</v>
      </c>
      <c r="D62" s="135" t="s">
        <v>350</v>
      </c>
      <c r="E62" s="99" t="s">
        <v>351</v>
      </c>
      <c r="F62" s="100"/>
      <c r="G62" s="73">
        <v>74</v>
      </c>
      <c r="H62" s="73">
        <v>61</v>
      </c>
      <c r="I62" s="74">
        <f t="shared" si="0"/>
        <v>135</v>
      </c>
      <c r="J62" s="73">
        <v>86</v>
      </c>
      <c r="K62" s="73">
        <v>58</v>
      </c>
      <c r="L62" s="74">
        <f t="shared" si="1"/>
        <v>144</v>
      </c>
      <c r="M62" s="73">
        <v>100</v>
      </c>
      <c r="N62" s="73">
        <v>68</v>
      </c>
      <c r="O62" s="74">
        <f t="shared" si="2"/>
        <v>168</v>
      </c>
      <c r="P62" s="73">
        <v>88</v>
      </c>
      <c r="Q62" s="73">
        <v>56</v>
      </c>
      <c r="R62" s="74">
        <f>SUM(P62:Q62)</f>
        <v>144</v>
      </c>
      <c r="S62" s="68"/>
      <c r="T62" s="68"/>
      <c r="U62" s="74"/>
      <c r="V62" s="73">
        <v>74</v>
      </c>
      <c r="W62" s="73">
        <v>49</v>
      </c>
      <c r="X62" s="74">
        <f t="shared" si="4"/>
        <v>123</v>
      </c>
      <c r="Y62" s="68"/>
      <c r="Z62" s="68"/>
      <c r="AA62" s="74"/>
      <c r="AB62" s="73">
        <v>83</v>
      </c>
      <c r="AC62" s="73">
        <v>55</v>
      </c>
      <c r="AD62" s="74">
        <f t="shared" si="5"/>
        <v>138</v>
      </c>
      <c r="AE62" s="112">
        <v>17</v>
      </c>
      <c r="AF62" s="73">
        <v>21</v>
      </c>
      <c r="AG62" s="74">
        <f t="shared" si="6"/>
        <v>38</v>
      </c>
      <c r="AH62" s="68">
        <v>20</v>
      </c>
      <c r="AI62" s="68">
        <v>21</v>
      </c>
      <c r="AJ62" s="74">
        <f t="shared" si="7"/>
        <v>41</v>
      </c>
      <c r="AK62" s="68">
        <v>21</v>
      </c>
      <c r="AL62" s="68">
        <v>21</v>
      </c>
      <c r="AM62" s="74">
        <f t="shared" si="8"/>
        <v>42</v>
      </c>
      <c r="AN62" s="73">
        <v>44</v>
      </c>
      <c r="AO62" s="74">
        <f t="shared" si="9"/>
        <v>44</v>
      </c>
      <c r="AP62" s="82">
        <v>50</v>
      </c>
      <c r="AQ62" s="74">
        <f t="shared" si="10"/>
        <v>1017</v>
      </c>
      <c r="AR62" s="41" t="s">
        <v>556</v>
      </c>
      <c r="AS62" s="91"/>
    </row>
    <row r="63" spans="1:45" ht="102.75" customHeight="1" x14ac:dyDescent="0.4">
      <c r="A63" s="44">
        <v>56</v>
      </c>
      <c r="B63" s="131">
        <v>690090105001</v>
      </c>
      <c r="C63" s="69">
        <v>690090100315</v>
      </c>
      <c r="D63" s="136" t="s">
        <v>490</v>
      </c>
      <c r="E63" s="75" t="s">
        <v>491</v>
      </c>
      <c r="F63" s="107"/>
      <c r="G63" s="112">
        <v>90</v>
      </c>
      <c r="H63" s="73">
        <v>70</v>
      </c>
      <c r="I63" s="74">
        <f t="shared" si="0"/>
        <v>160</v>
      </c>
      <c r="J63" s="73">
        <v>80</v>
      </c>
      <c r="K63" s="73">
        <v>63</v>
      </c>
      <c r="L63" s="74">
        <f t="shared" si="1"/>
        <v>143</v>
      </c>
      <c r="M63" s="112">
        <v>68</v>
      </c>
      <c r="N63" s="112">
        <v>61</v>
      </c>
      <c r="O63" s="74">
        <f t="shared" si="2"/>
        <v>129</v>
      </c>
      <c r="P63" s="112">
        <v>82</v>
      </c>
      <c r="Q63" s="112">
        <v>62</v>
      </c>
      <c r="R63" s="74">
        <f>SUM(P63:Q63)</f>
        <v>144</v>
      </c>
      <c r="S63" s="112"/>
      <c r="T63" s="112"/>
      <c r="U63" s="74"/>
      <c r="V63" s="112">
        <v>75</v>
      </c>
      <c r="W63" s="112">
        <v>48</v>
      </c>
      <c r="X63" s="74">
        <f t="shared" si="4"/>
        <v>123</v>
      </c>
      <c r="Y63" s="68"/>
      <c r="Z63" s="68"/>
      <c r="AA63" s="74"/>
      <c r="AB63" s="112">
        <v>81</v>
      </c>
      <c r="AC63" s="112">
        <v>56</v>
      </c>
      <c r="AD63" s="74">
        <f t="shared" si="5"/>
        <v>137</v>
      </c>
      <c r="AE63" s="112">
        <v>21</v>
      </c>
      <c r="AF63" s="112">
        <v>21</v>
      </c>
      <c r="AG63" s="74">
        <f t="shared" si="6"/>
        <v>42</v>
      </c>
      <c r="AH63" s="68">
        <v>19</v>
      </c>
      <c r="AI63" s="68">
        <v>23</v>
      </c>
      <c r="AJ63" s="74">
        <f t="shared" si="7"/>
        <v>42</v>
      </c>
      <c r="AK63" s="68">
        <v>20</v>
      </c>
      <c r="AL63" s="68">
        <v>23</v>
      </c>
      <c r="AM63" s="74">
        <f t="shared" si="8"/>
        <v>43</v>
      </c>
      <c r="AN63" s="112">
        <v>44</v>
      </c>
      <c r="AO63" s="74">
        <f t="shared" si="9"/>
        <v>44</v>
      </c>
      <c r="AP63" s="82">
        <v>47</v>
      </c>
      <c r="AQ63" s="74">
        <f t="shared" si="10"/>
        <v>1007</v>
      </c>
      <c r="AR63" s="41" t="s">
        <v>556</v>
      </c>
      <c r="AS63" s="107"/>
    </row>
    <row r="64" spans="1:45" ht="102.75" customHeight="1" x14ac:dyDescent="0.4">
      <c r="A64" s="44">
        <v>57</v>
      </c>
      <c r="B64" s="131">
        <v>690090105002</v>
      </c>
      <c r="C64" s="69">
        <v>690090100316</v>
      </c>
      <c r="D64" s="136" t="s">
        <v>492</v>
      </c>
      <c r="E64" s="75" t="s">
        <v>493</v>
      </c>
      <c r="F64" s="83"/>
      <c r="G64" s="112">
        <v>48</v>
      </c>
      <c r="H64" s="112">
        <v>59</v>
      </c>
      <c r="I64" s="74">
        <f t="shared" si="0"/>
        <v>107</v>
      </c>
      <c r="J64" s="112">
        <v>42</v>
      </c>
      <c r="K64" s="112">
        <v>48</v>
      </c>
      <c r="L64" s="74">
        <f t="shared" si="1"/>
        <v>90</v>
      </c>
      <c r="M64" s="112">
        <v>58</v>
      </c>
      <c r="N64" s="112">
        <v>48</v>
      </c>
      <c r="O64" s="74">
        <f t="shared" si="2"/>
        <v>106</v>
      </c>
      <c r="P64" s="112"/>
      <c r="Q64" s="112"/>
      <c r="R64" s="74"/>
      <c r="S64" s="112">
        <v>74</v>
      </c>
      <c r="T64" s="68">
        <v>47</v>
      </c>
      <c r="U64" s="74">
        <f t="shared" si="3"/>
        <v>121</v>
      </c>
      <c r="V64" s="112"/>
      <c r="W64" s="112"/>
      <c r="X64" s="74"/>
      <c r="Y64" s="68">
        <v>44</v>
      </c>
      <c r="Z64" s="68">
        <v>38</v>
      </c>
      <c r="AA64" s="74">
        <f>SUM(Y64:Z64)</f>
        <v>82</v>
      </c>
      <c r="AB64" s="112">
        <v>63</v>
      </c>
      <c r="AC64" s="112">
        <v>41</v>
      </c>
      <c r="AD64" s="74">
        <f t="shared" si="5"/>
        <v>104</v>
      </c>
      <c r="AE64" s="112">
        <v>12</v>
      </c>
      <c r="AF64" s="112">
        <v>18</v>
      </c>
      <c r="AG64" s="74">
        <f t="shared" si="6"/>
        <v>30</v>
      </c>
      <c r="AH64" s="68">
        <v>16</v>
      </c>
      <c r="AI64" s="68">
        <v>22</v>
      </c>
      <c r="AJ64" s="74">
        <f t="shared" si="7"/>
        <v>38</v>
      </c>
      <c r="AK64" s="68">
        <v>21</v>
      </c>
      <c r="AL64" s="68">
        <v>20</v>
      </c>
      <c r="AM64" s="74">
        <f t="shared" si="8"/>
        <v>41</v>
      </c>
      <c r="AN64" s="112">
        <v>41</v>
      </c>
      <c r="AO64" s="74">
        <f t="shared" si="9"/>
        <v>41</v>
      </c>
      <c r="AP64" s="113">
        <v>47</v>
      </c>
      <c r="AQ64" s="74">
        <f t="shared" si="10"/>
        <v>760</v>
      </c>
      <c r="AR64" s="41" t="s">
        <v>556</v>
      </c>
      <c r="AS64" s="42"/>
    </row>
    <row r="65" spans="1:45" ht="102.75" customHeight="1" x14ac:dyDescent="0.4">
      <c r="A65" s="44">
        <v>58</v>
      </c>
      <c r="B65" s="131">
        <v>690090105003</v>
      </c>
      <c r="C65" s="69">
        <v>690090100317</v>
      </c>
      <c r="D65" s="136" t="s">
        <v>494</v>
      </c>
      <c r="E65" s="75" t="s">
        <v>495</v>
      </c>
      <c r="F65" s="83"/>
      <c r="G65" s="112">
        <v>88</v>
      </c>
      <c r="H65" s="112">
        <v>71</v>
      </c>
      <c r="I65" s="74">
        <f t="shared" si="0"/>
        <v>159</v>
      </c>
      <c r="J65" s="112">
        <v>80</v>
      </c>
      <c r="K65" s="112">
        <v>64</v>
      </c>
      <c r="L65" s="74">
        <f t="shared" si="1"/>
        <v>144</v>
      </c>
      <c r="M65" s="112">
        <v>90</v>
      </c>
      <c r="N65" s="112">
        <v>66</v>
      </c>
      <c r="O65" s="74">
        <f t="shared" si="2"/>
        <v>156</v>
      </c>
      <c r="P65" s="112">
        <v>90</v>
      </c>
      <c r="Q65" s="112">
        <v>56</v>
      </c>
      <c r="R65" s="74">
        <f>SUM(P65:Q65)</f>
        <v>146</v>
      </c>
      <c r="S65" s="112"/>
      <c r="T65" s="114"/>
      <c r="U65" s="74"/>
      <c r="V65" s="112">
        <v>72</v>
      </c>
      <c r="W65" s="112">
        <v>52</v>
      </c>
      <c r="X65" s="74">
        <f t="shared" si="4"/>
        <v>124</v>
      </c>
      <c r="Y65" s="68"/>
      <c r="Z65" s="68"/>
      <c r="AA65" s="74"/>
      <c r="AB65" s="112">
        <v>83</v>
      </c>
      <c r="AC65" s="112">
        <v>55</v>
      </c>
      <c r="AD65" s="74">
        <f t="shared" si="5"/>
        <v>138</v>
      </c>
      <c r="AE65" s="112">
        <v>21</v>
      </c>
      <c r="AF65" s="112">
        <v>19</v>
      </c>
      <c r="AG65" s="74">
        <f t="shared" si="6"/>
        <v>40</v>
      </c>
      <c r="AH65" s="68">
        <v>19</v>
      </c>
      <c r="AI65" s="68">
        <v>19</v>
      </c>
      <c r="AJ65" s="74">
        <f t="shared" si="7"/>
        <v>38</v>
      </c>
      <c r="AK65" s="68">
        <v>20</v>
      </c>
      <c r="AL65" s="68">
        <v>23</v>
      </c>
      <c r="AM65" s="74">
        <f t="shared" si="8"/>
        <v>43</v>
      </c>
      <c r="AN65" s="112">
        <v>41</v>
      </c>
      <c r="AO65" s="74">
        <f t="shared" si="9"/>
        <v>41</v>
      </c>
      <c r="AP65" s="113">
        <v>47</v>
      </c>
      <c r="AQ65" s="74">
        <f t="shared" si="10"/>
        <v>1029</v>
      </c>
      <c r="AR65" s="41" t="s">
        <v>556</v>
      </c>
      <c r="AS65" s="83"/>
    </row>
    <row r="66" spans="1:45" ht="102.75" customHeight="1" x14ac:dyDescent="0.4">
      <c r="A66" s="44">
        <v>59</v>
      </c>
      <c r="B66" s="131">
        <v>690090105004</v>
      </c>
      <c r="C66" s="69">
        <v>690090100318</v>
      </c>
      <c r="D66" s="136" t="s">
        <v>496</v>
      </c>
      <c r="E66" s="75" t="s">
        <v>497</v>
      </c>
      <c r="F66" s="83"/>
      <c r="G66" s="112">
        <v>60</v>
      </c>
      <c r="H66" s="112">
        <v>70</v>
      </c>
      <c r="I66" s="74">
        <f t="shared" si="0"/>
        <v>130</v>
      </c>
      <c r="J66" s="112">
        <v>66</v>
      </c>
      <c r="K66" s="112">
        <v>58</v>
      </c>
      <c r="L66" s="74">
        <f t="shared" si="1"/>
        <v>124</v>
      </c>
      <c r="M66" s="112">
        <v>82</v>
      </c>
      <c r="N66" s="112">
        <v>63</v>
      </c>
      <c r="O66" s="74">
        <f t="shared" si="2"/>
        <v>145</v>
      </c>
      <c r="P66" s="112">
        <v>80</v>
      </c>
      <c r="Q66" s="112">
        <v>51</v>
      </c>
      <c r="R66" s="74">
        <f>SUM(P66:Q66)</f>
        <v>131</v>
      </c>
      <c r="S66" s="112"/>
      <c r="T66" s="112"/>
      <c r="U66" s="74"/>
      <c r="V66" s="112">
        <v>54</v>
      </c>
      <c r="W66" s="112">
        <v>48</v>
      </c>
      <c r="X66" s="74">
        <f t="shared" si="4"/>
        <v>102</v>
      </c>
      <c r="Y66" s="68"/>
      <c r="Z66" s="68"/>
      <c r="AA66" s="74"/>
      <c r="AB66" s="112">
        <v>75</v>
      </c>
      <c r="AC66" s="112">
        <v>54</v>
      </c>
      <c r="AD66" s="74">
        <f t="shared" si="5"/>
        <v>129</v>
      </c>
      <c r="AE66" s="112">
        <v>11</v>
      </c>
      <c r="AF66" s="112">
        <v>15</v>
      </c>
      <c r="AG66" s="74">
        <f t="shared" si="6"/>
        <v>26</v>
      </c>
      <c r="AH66" s="68">
        <v>20</v>
      </c>
      <c r="AI66" s="68">
        <v>21</v>
      </c>
      <c r="AJ66" s="74">
        <f t="shared" si="7"/>
        <v>41</v>
      </c>
      <c r="AK66" s="68">
        <v>20</v>
      </c>
      <c r="AL66" s="68">
        <v>22</v>
      </c>
      <c r="AM66" s="74">
        <f t="shared" si="8"/>
        <v>42</v>
      </c>
      <c r="AN66" s="112">
        <v>41</v>
      </c>
      <c r="AO66" s="74">
        <f t="shared" si="9"/>
        <v>41</v>
      </c>
      <c r="AP66" s="113">
        <v>47</v>
      </c>
      <c r="AQ66" s="74">
        <f t="shared" si="10"/>
        <v>911</v>
      </c>
      <c r="AR66" s="41" t="s">
        <v>556</v>
      </c>
      <c r="AS66" s="42"/>
    </row>
    <row r="67" spans="1:45" ht="102.75" customHeight="1" x14ac:dyDescent="0.4">
      <c r="A67" s="44">
        <v>60</v>
      </c>
      <c r="B67" s="131">
        <v>690090105005</v>
      </c>
      <c r="C67" s="69">
        <v>690090100319</v>
      </c>
      <c r="D67" s="136" t="s">
        <v>498</v>
      </c>
      <c r="E67" s="75" t="s">
        <v>499</v>
      </c>
      <c r="F67" s="83"/>
      <c r="G67" s="112">
        <v>80</v>
      </c>
      <c r="H67" s="112">
        <v>56</v>
      </c>
      <c r="I67" s="74">
        <f t="shared" si="0"/>
        <v>136</v>
      </c>
      <c r="J67" s="112">
        <v>80</v>
      </c>
      <c r="K67" s="112">
        <v>61</v>
      </c>
      <c r="L67" s="74">
        <f t="shared" si="1"/>
        <v>141</v>
      </c>
      <c r="M67" s="112">
        <v>104</v>
      </c>
      <c r="N67" s="112">
        <v>61</v>
      </c>
      <c r="O67" s="74">
        <f t="shared" si="2"/>
        <v>165</v>
      </c>
      <c r="P67" s="112">
        <v>92</v>
      </c>
      <c r="Q67" s="112">
        <v>53</v>
      </c>
      <c r="R67" s="74">
        <f>SUM(P67:Q67)</f>
        <v>145</v>
      </c>
      <c r="S67" s="112"/>
      <c r="T67" s="112"/>
      <c r="U67" s="74"/>
      <c r="V67" s="112"/>
      <c r="W67" s="112"/>
      <c r="X67" s="74"/>
      <c r="Y67" s="68">
        <v>71</v>
      </c>
      <c r="Z67" s="68">
        <v>45</v>
      </c>
      <c r="AA67" s="74">
        <f>SUM(Y67:Z67)</f>
        <v>116</v>
      </c>
      <c r="AB67" s="112">
        <v>83</v>
      </c>
      <c r="AC67" s="112">
        <v>54</v>
      </c>
      <c r="AD67" s="74">
        <f t="shared" si="5"/>
        <v>137</v>
      </c>
      <c r="AE67" s="112">
        <v>13</v>
      </c>
      <c r="AF67" s="112">
        <v>16</v>
      </c>
      <c r="AG67" s="74">
        <f t="shared" si="6"/>
        <v>29</v>
      </c>
      <c r="AH67" s="68">
        <v>18</v>
      </c>
      <c r="AI67" s="68">
        <v>20</v>
      </c>
      <c r="AJ67" s="74">
        <f t="shared" si="7"/>
        <v>38</v>
      </c>
      <c r="AK67" s="68">
        <v>23</v>
      </c>
      <c r="AL67" s="68">
        <v>21</v>
      </c>
      <c r="AM67" s="74">
        <f t="shared" si="8"/>
        <v>44</v>
      </c>
      <c r="AN67" s="112">
        <v>40</v>
      </c>
      <c r="AO67" s="74">
        <f t="shared" si="9"/>
        <v>40</v>
      </c>
      <c r="AP67" s="113">
        <v>46</v>
      </c>
      <c r="AQ67" s="74">
        <f t="shared" si="10"/>
        <v>991</v>
      </c>
      <c r="AR67" s="41" t="s">
        <v>556</v>
      </c>
      <c r="AS67" s="83"/>
    </row>
    <row r="68" spans="1:45" ht="102.75" customHeight="1" x14ac:dyDescent="0.4">
      <c r="A68" s="44">
        <v>61</v>
      </c>
      <c r="B68" s="131">
        <v>690090105006</v>
      </c>
      <c r="C68" s="69">
        <v>690090100320</v>
      </c>
      <c r="D68" s="136" t="s">
        <v>500</v>
      </c>
      <c r="E68" s="75" t="s">
        <v>501</v>
      </c>
      <c r="F68" s="83"/>
      <c r="G68" s="112">
        <v>76</v>
      </c>
      <c r="H68" s="112">
        <v>55</v>
      </c>
      <c r="I68" s="74">
        <f t="shared" si="0"/>
        <v>131</v>
      </c>
      <c r="J68" s="112">
        <v>50</v>
      </c>
      <c r="K68" s="112">
        <v>50</v>
      </c>
      <c r="L68" s="74">
        <f t="shared" si="1"/>
        <v>100</v>
      </c>
      <c r="M68" s="112">
        <v>76</v>
      </c>
      <c r="N68" s="112">
        <v>62</v>
      </c>
      <c r="O68" s="74">
        <f t="shared" si="2"/>
        <v>138</v>
      </c>
      <c r="P68" s="112"/>
      <c r="Q68" s="112"/>
      <c r="R68" s="74"/>
      <c r="S68" s="112">
        <v>96</v>
      </c>
      <c r="T68" s="68">
        <v>42</v>
      </c>
      <c r="U68" s="74">
        <f t="shared" si="3"/>
        <v>138</v>
      </c>
      <c r="V68" s="112"/>
      <c r="W68" s="112"/>
      <c r="X68" s="74"/>
      <c r="Y68" s="68">
        <v>65</v>
      </c>
      <c r="Z68" s="68">
        <v>42</v>
      </c>
      <c r="AA68" s="74">
        <f>SUM(Y68:Z68)</f>
        <v>107</v>
      </c>
      <c r="AB68" s="112">
        <v>62</v>
      </c>
      <c r="AC68" s="112">
        <v>42</v>
      </c>
      <c r="AD68" s="74">
        <f t="shared" si="5"/>
        <v>104</v>
      </c>
      <c r="AE68" s="112">
        <v>17</v>
      </c>
      <c r="AF68" s="112">
        <v>16</v>
      </c>
      <c r="AG68" s="74">
        <f t="shared" si="6"/>
        <v>33</v>
      </c>
      <c r="AH68" s="68">
        <v>20</v>
      </c>
      <c r="AI68" s="68">
        <v>20</v>
      </c>
      <c r="AJ68" s="74">
        <f t="shared" si="7"/>
        <v>40</v>
      </c>
      <c r="AK68" s="68">
        <v>23</v>
      </c>
      <c r="AL68" s="68">
        <v>21</v>
      </c>
      <c r="AM68" s="74">
        <f t="shared" si="8"/>
        <v>44</v>
      </c>
      <c r="AN68" s="112">
        <v>38</v>
      </c>
      <c r="AO68" s="74">
        <f t="shared" si="9"/>
        <v>38</v>
      </c>
      <c r="AP68" s="113">
        <v>45</v>
      </c>
      <c r="AQ68" s="74">
        <f t="shared" si="10"/>
        <v>873</v>
      </c>
      <c r="AR68" s="41" t="s">
        <v>556</v>
      </c>
      <c r="AS68" s="42"/>
    </row>
  </sheetData>
  <mergeCells count="20">
    <mergeCell ref="AN4:AO4"/>
    <mergeCell ref="S4:U4"/>
    <mergeCell ref="AH4:AJ4"/>
    <mergeCell ref="AK4:AM4"/>
    <mergeCell ref="V4:X4"/>
    <mergeCell ref="Y4:AA4"/>
    <mergeCell ref="C4:C7"/>
    <mergeCell ref="AE4:AG4"/>
    <mergeCell ref="A1:AS1"/>
    <mergeCell ref="A2:AS2"/>
    <mergeCell ref="A3:AS3"/>
    <mergeCell ref="A4:A7"/>
    <mergeCell ref="B4:B7"/>
    <mergeCell ref="D4:D7"/>
    <mergeCell ref="E4:E7"/>
    <mergeCell ref="G4:I4"/>
    <mergeCell ref="J4:L4"/>
    <mergeCell ref="M4:O4"/>
    <mergeCell ref="P4:R4"/>
    <mergeCell ref="AB4:AD4"/>
  </mergeCells>
  <conditionalFormatting sqref="G8:G68">
    <cfRule type="cellIs" dxfId="29" priority="22" stopIfTrue="1" operator="lessThan">
      <formula>36</formula>
    </cfRule>
  </conditionalFormatting>
  <conditionalFormatting sqref="I8:I68">
    <cfRule type="cellIs" dxfId="28" priority="21" stopIfTrue="1" operator="lessThan">
      <formula>80</formula>
    </cfRule>
  </conditionalFormatting>
  <conditionalFormatting sqref="J8:J68">
    <cfRule type="cellIs" dxfId="27" priority="18" stopIfTrue="1" operator="lessThan">
      <formula>36</formula>
    </cfRule>
  </conditionalFormatting>
  <conditionalFormatting sqref="L8:L68">
    <cfRule type="cellIs" dxfId="26" priority="14" stopIfTrue="1" operator="lessThan">
      <formula>80</formula>
    </cfRule>
  </conditionalFormatting>
  <conditionalFormatting sqref="M8:M68">
    <cfRule type="cellIs" dxfId="25" priority="17" stopIfTrue="1" operator="lessThan">
      <formula>36</formula>
    </cfRule>
  </conditionalFormatting>
  <conditionalFormatting sqref="O8:O68">
    <cfRule type="cellIs" dxfId="24" priority="13" stopIfTrue="1" operator="lessThan">
      <formula>80</formula>
    </cfRule>
  </conditionalFormatting>
  <conditionalFormatting sqref="P8:P68">
    <cfRule type="cellIs" dxfId="23" priority="19" stopIfTrue="1" operator="lessThan">
      <formula>36</formula>
    </cfRule>
  </conditionalFormatting>
  <conditionalFormatting sqref="R8:R68">
    <cfRule type="cellIs" dxfId="22" priority="12" stopIfTrue="1" operator="lessThan">
      <formula>80</formula>
    </cfRule>
  </conditionalFormatting>
  <conditionalFormatting sqref="S8:S68">
    <cfRule type="cellIs" dxfId="21" priority="16" stopIfTrue="1" operator="lessThan">
      <formula>36</formula>
    </cfRule>
  </conditionalFormatting>
  <conditionalFormatting sqref="U8:U68">
    <cfRule type="cellIs" dxfId="20" priority="11" stopIfTrue="1" operator="lessThan">
      <formula>80</formula>
    </cfRule>
  </conditionalFormatting>
  <conditionalFormatting sqref="V8:V68">
    <cfRule type="cellIs" dxfId="19" priority="4" stopIfTrue="1" operator="lessThan">
      <formula>27</formula>
    </cfRule>
  </conditionalFormatting>
  <conditionalFormatting sqref="X8:X68">
    <cfRule type="cellIs" dxfId="18" priority="3" stopIfTrue="1" operator="lessThan">
      <formula>60</formula>
    </cfRule>
  </conditionalFormatting>
  <conditionalFormatting sqref="Y8:Y68">
    <cfRule type="cellIs" dxfId="17" priority="2" stopIfTrue="1" operator="lessThan">
      <formula>27</formula>
    </cfRule>
  </conditionalFormatting>
  <conditionalFormatting sqref="AA8:AA68">
    <cfRule type="cellIs" dxfId="16" priority="1" stopIfTrue="1" operator="lessThan">
      <formula>60</formula>
    </cfRule>
  </conditionalFormatting>
  <conditionalFormatting sqref="AB8:AB68">
    <cfRule type="cellIs" dxfId="15" priority="6" stopIfTrue="1" operator="lessThan">
      <formula>27</formula>
    </cfRule>
  </conditionalFormatting>
  <conditionalFormatting sqref="AD8:AD68">
    <cfRule type="cellIs" dxfId="14" priority="5" stopIfTrue="1" operator="lessThan">
      <formula>60</formula>
    </cfRule>
  </conditionalFormatting>
  <pageMargins left="0.70866141732283472" right="0.31496062992125984" top="0.51181102362204722" bottom="1.5748031496062993" header="0.31496062992125984" footer="0.74803149606299213"/>
  <pageSetup paperSize="8" scale="38" orientation="landscape" r:id="rId1"/>
  <headerFooter>
    <oddFooter>&amp;L&amp;16$ Non Credit Subject(s)     Date 29.07.2021         Prepared By         Checked by     &amp;C&amp;16Controller( GBPIET)           &amp;"Arial,Bold"DIRECTOR&amp;"Arial,Regular"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75"/>
  <sheetViews>
    <sheetView zoomScale="40" zoomScaleNormal="40" workbookViewId="0">
      <selection activeCell="G4" sqref="A4:XFD4"/>
    </sheetView>
  </sheetViews>
  <sheetFormatPr defaultColWidth="6.26953125" defaultRowHeight="27" customHeight="1" x14ac:dyDescent="0.35"/>
  <cols>
    <col min="1" max="1" width="10.7265625" style="25" customWidth="1"/>
    <col min="2" max="2" width="33" style="25" customWidth="1"/>
    <col min="3" max="3" width="29" style="25" customWidth="1"/>
    <col min="4" max="4" width="22.54296875" style="25" customWidth="1"/>
    <col min="5" max="5" width="37.54296875" style="25" customWidth="1"/>
    <col min="6" max="6" width="38.1796875" style="25" customWidth="1"/>
    <col min="7" max="7" width="12" style="25" customWidth="1"/>
    <col min="8" max="24" width="8.81640625" style="25" customWidth="1"/>
    <col min="25" max="25" width="10.7265625" style="25" customWidth="1"/>
    <col min="26" max="37" width="8.81640625" style="25" customWidth="1"/>
    <col min="38" max="38" width="15.54296875" style="25" customWidth="1"/>
    <col min="39" max="39" width="12" style="25" customWidth="1"/>
    <col min="40" max="40" width="24.81640625" style="25" customWidth="1"/>
    <col min="41" max="41" width="60.81640625" style="25" customWidth="1"/>
    <col min="42" max="16384" width="6.26953125" style="25"/>
  </cols>
  <sheetData>
    <row r="1" spans="1:41" ht="48" customHeight="1" x14ac:dyDescent="0.35">
      <c r="A1" s="184" t="s">
        <v>18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</row>
    <row r="2" spans="1:41" ht="48" customHeight="1" x14ac:dyDescent="0.35">
      <c r="A2" s="184" t="s">
        <v>29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</row>
    <row r="3" spans="1:41" ht="48" customHeight="1" x14ac:dyDescent="0.35">
      <c r="A3" s="185" t="s">
        <v>575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1" ht="204" customHeight="1" x14ac:dyDescent="0.35">
      <c r="A4" s="174" t="s">
        <v>1</v>
      </c>
      <c r="B4" s="174" t="s">
        <v>0</v>
      </c>
      <c r="C4" s="174" t="s">
        <v>22</v>
      </c>
      <c r="D4" s="174" t="s">
        <v>141</v>
      </c>
      <c r="E4" s="176" t="s">
        <v>523</v>
      </c>
      <c r="F4" s="176" t="s">
        <v>10</v>
      </c>
      <c r="G4" s="13" t="s">
        <v>5</v>
      </c>
      <c r="H4" s="183" t="s">
        <v>565</v>
      </c>
      <c r="I4" s="183"/>
      <c r="J4" s="183"/>
      <c r="K4" s="183" t="s">
        <v>595</v>
      </c>
      <c r="L4" s="183"/>
      <c r="M4" s="183"/>
      <c r="N4" s="183" t="s">
        <v>567</v>
      </c>
      <c r="O4" s="183"/>
      <c r="P4" s="183"/>
      <c r="Q4" s="183" t="s">
        <v>566</v>
      </c>
      <c r="R4" s="183"/>
      <c r="S4" s="183"/>
      <c r="T4" s="183" t="s">
        <v>593</v>
      </c>
      <c r="U4" s="183"/>
      <c r="V4" s="183"/>
      <c r="W4" s="183" t="s">
        <v>568</v>
      </c>
      <c r="X4" s="183"/>
      <c r="Y4" s="183"/>
      <c r="Z4" s="183" t="s">
        <v>594</v>
      </c>
      <c r="AA4" s="183"/>
      <c r="AB4" s="183"/>
      <c r="AC4" s="183" t="s">
        <v>569</v>
      </c>
      <c r="AD4" s="183"/>
      <c r="AE4" s="183"/>
      <c r="AF4" s="183" t="s">
        <v>570</v>
      </c>
      <c r="AG4" s="183"/>
      <c r="AH4" s="183"/>
      <c r="AI4" s="183" t="s">
        <v>571</v>
      </c>
      <c r="AJ4" s="183"/>
      <c r="AK4" s="183"/>
      <c r="AL4" s="27" t="s">
        <v>553</v>
      </c>
      <c r="AM4" s="27" t="s">
        <v>11</v>
      </c>
      <c r="AN4" s="27" t="s">
        <v>16</v>
      </c>
      <c r="AO4" s="23" t="s">
        <v>13</v>
      </c>
    </row>
    <row r="5" spans="1:41" ht="45.75" customHeight="1" x14ac:dyDescent="0.35">
      <c r="A5" s="174"/>
      <c r="B5" s="174"/>
      <c r="C5" s="174"/>
      <c r="D5" s="174"/>
      <c r="E5" s="176"/>
      <c r="F5" s="176"/>
      <c r="G5" s="13"/>
      <c r="H5" s="32" t="s">
        <v>7</v>
      </c>
      <c r="I5" s="32" t="s">
        <v>8</v>
      </c>
      <c r="J5" s="32" t="s">
        <v>4</v>
      </c>
      <c r="K5" s="32" t="s">
        <v>7</v>
      </c>
      <c r="L5" s="32" t="s">
        <v>8</v>
      </c>
      <c r="M5" s="32" t="s">
        <v>4</v>
      </c>
      <c r="N5" s="32" t="s">
        <v>7</v>
      </c>
      <c r="O5" s="32" t="s">
        <v>8</v>
      </c>
      <c r="P5" s="32" t="s">
        <v>4</v>
      </c>
      <c r="Q5" s="32" t="s">
        <v>7</v>
      </c>
      <c r="R5" s="32" t="s">
        <v>8</v>
      </c>
      <c r="S5" s="32" t="s">
        <v>4</v>
      </c>
      <c r="T5" s="32" t="s">
        <v>7</v>
      </c>
      <c r="U5" s="32" t="s">
        <v>8</v>
      </c>
      <c r="V5" s="32" t="s">
        <v>4</v>
      </c>
      <c r="W5" s="32" t="s">
        <v>7</v>
      </c>
      <c r="X5" s="32" t="s">
        <v>8</v>
      </c>
      <c r="Y5" s="32" t="s">
        <v>4</v>
      </c>
      <c r="Z5" s="32" t="s">
        <v>9</v>
      </c>
      <c r="AA5" s="32" t="s">
        <v>8</v>
      </c>
      <c r="AB5" s="32" t="s">
        <v>4</v>
      </c>
      <c r="AC5" s="32" t="s">
        <v>9</v>
      </c>
      <c r="AD5" s="32" t="s">
        <v>8</v>
      </c>
      <c r="AE5" s="32" t="s">
        <v>4</v>
      </c>
      <c r="AF5" s="32" t="s">
        <v>9</v>
      </c>
      <c r="AG5" s="32" t="s">
        <v>8</v>
      </c>
      <c r="AH5" s="32" t="s">
        <v>4</v>
      </c>
      <c r="AI5" s="32" t="s">
        <v>9</v>
      </c>
      <c r="AJ5" s="32" t="s">
        <v>8</v>
      </c>
      <c r="AK5" s="32" t="s">
        <v>4</v>
      </c>
      <c r="AL5" s="14"/>
      <c r="AM5" s="29"/>
      <c r="AN5" s="13"/>
      <c r="AO5" s="13"/>
    </row>
    <row r="6" spans="1:41" ht="45.75" customHeight="1" x14ac:dyDescent="0.35">
      <c r="A6" s="174"/>
      <c r="B6" s="174"/>
      <c r="C6" s="174"/>
      <c r="D6" s="174"/>
      <c r="E6" s="176"/>
      <c r="F6" s="176"/>
      <c r="G6" s="13" t="s">
        <v>2</v>
      </c>
      <c r="H6" s="40">
        <v>90</v>
      </c>
      <c r="I6" s="40">
        <v>60</v>
      </c>
      <c r="J6" s="40">
        <f>SUM(H6:I6)</f>
        <v>150</v>
      </c>
      <c r="K6" s="40">
        <v>90</v>
      </c>
      <c r="L6" s="40">
        <v>60</v>
      </c>
      <c r="M6" s="40">
        <f>SUM(K6:L6)</f>
        <v>150</v>
      </c>
      <c r="N6" s="40">
        <v>90</v>
      </c>
      <c r="O6" s="40">
        <v>60</v>
      </c>
      <c r="P6" s="40">
        <f>SUM(N6:O6)</f>
        <v>150</v>
      </c>
      <c r="Q6" s="40">
        <v>90</v>
      </c>
      <c r="R6" s="40">
        <v>60</v>
      </c>
      <c r="S6" s="40">
        <f>SUM(Q6:R6)</f>
        <v>150</v>
      </c>
      <c r="T6" s="40">
        <v>90</v>
      </c>
      <c r="U6" s="40">
        <v>60</v>
      </c>
      <c r="V6" s="40">
        <f>SUM(T6:U6)</f>
        <v>150</v>
      </c>
      <c r="W6" s="49">
        <v>60</v>
      </c>
      <c r="X6" s="49">
        <v>40</v>
      </c>
      <c r="Y6" s="49">
        <f>SUM(W6:X6)</f>
        <v>100</v>
      </c>
      <c r="Z6" s="49">
        <v>25</v>
      </c>
      <c r="AA6" s="49">
        <v>25</v>
      </c>
      <c r="AB6" s="49">
        <f>SUM(Z6:AA6)</f>
        <v>50</v>
      </c>
      <c r="AC6" s="49">
        <v>25</v>
      </c>
      <c r="AD6" s="49">
        <v>25</v>
      </c>
      <c r="AE6" s="49">
        <f>SUM(AC6:AD6)</f>
        <v>50</v>
      </c>
      <c r="AF6" s="49">
        <v>25</v>
      </c>
      <c r="AG6" s="49">
        <v>25</v>
      </c>
      <c r="AH6" s="49">
        <f>SUM(AF6:AG6)</f>
        <v>50</v>
      </c>
      <c r="AI6" s="49">
        <v>25</v>
      </c>
      <c r="AJ6" s="49">
        <v>25</v>
      </c>
      <c r="AK6" s="49">
        <f>SUM(AI6:AJ6)</f>
        <v>50</v>
      </c>
      <c r="AL6" s="49">
        <v>50</v>
      </c>
      <c r="AM6" s="40">
        <v>1050</v>
      </c>
      <c r="AN6" s="15"/>
      <c r="AO6" s="15"/>
    </row>
    <row r="7" spans="1:41" ht="45.75" customHeight="1" x14ac:dyDescent="0.35">
      <c r="A7" s="175"/>
      <c r="B7" s="175"/>
      <c r="C7" s="175"/>
      <c r="D7" s="175"/>
      <c r="E7" s="164"/>
      <c r="F7" s="164"/>
      <c r="G7" s="24" t="s">
        <v>3</v>
      </c>
      <c r="H7" s="116">
        <v>27</v>
      </c>
      <c r="I7" s="116"/>
      <c r="J7" s="116">
        <v>60</v>
      </c>
      <c r="K7" s="116">
        <v>27</v>
      </c>
      <c r="L7" s="116"/>
      <c r="M7" s="116">
        <v>60</v>
      </c>
      <c r="N7" s="116">
        <v>27</v>
      </c>
      <c r="O7" s="116"/>
      <c r="P7" s="116">
        <v>60</v>
      </c>
      <c r="Q7" s="116">
        <v>27</v>
      </c>
      <c r="R7" s="116"/>
      <c r="S7" s="116">
        <v>60</v>
      </c>
      <c r="T7" s="116">
        <v>27</v>
      </c>
      <c r="U7" s="116"/>
      <c r="V7" s="116">
        <v>60</v>
      </c>
      <c r="W7" s="51">
        <v>18</v>
      </c>
      <c r="X7" s="51"/>
      <c r="Y7" s="51">
        <v>40</v>
      </c>
      <c r="Z7" s="51">
        <v>13</v>
      </c>
      <c r="AA7" s="51"/>
      <c r="AB7" s="51">
        <v>25</v>
      </c>
      <c r="AC7" s="51">
        <v>13</v>
      </c>
      <c r="AD7" s="51"/>
      <c r="AE7" s="51">
        <v>25</v>
      </c>
      <c r="AF7" s="51">
        <v>13</v>
      </c>
      <c r="AG7" s="51"/>
      <c r="AH7" s="51">
        <v>25</v>
      </c>
      <c r="AI7" s="51">
        <v>13</v>
      </c>
      <c r="AJ7" s="51"/>
      <c r="AK7" s="51">
        <v>25</v>
      </c>
      <c r="AL7" s="51"/>
      <c r="AM7" s="40">
        <v>575</v>
      </c>
      <c r="AN7" s="39"/>
      <c r="AO7" s="18"/>
    </row>
    <row r="8" spans="1:41" s="117" customFormat="1" ht="100.5" customHeight="1" x14ac:dyDescent="0.4">
      <c r="A8" s="137">
        <v>1</v>
      </c>
      <c r="B8" s="125">
        <v>180090107001</v>
      </c>
      <c r="C8" s="70">
        <v>180000100227</v>
      </c>
      <c r="D8" s="103">
        <v>180501</v>
      </c>
      <c r="E8" s="144" t="s">
        <v>353</v>
      </c>
      <c r="F8" s="98" t="s">
        <v>352</v>
      </c>
      <c r="G8" s="100"/>
      <c r="H8" s="58">
        <v>70</v>
      </c>
      <c r="I8" s="58">
        <v>57</v>
      </c>
      <c r="J8" s="50">
        <f>SUM(H8:I8)</f>
        <v>127</v>
      </c>
      <c r="K8" s="58">
        <v>74</v>
      </c>
      <c r="L8" s="58">
        <v>57</v>
      </c>
      <c r="M8" s="50">
        <f>SUM(K8:L8)</f>
        <v>131</v>
      </c>
      <c r="N8" s="58">
        <v>57</v>
      </c>
      <c r="O8" s="58">
        <v>39</v>
      </c>
      <c r="P8" s="50">
        <f>SUM(N8:O8)</f>
        <v>96</v>
      </c>
      <c r="Q8" s="58">
        <v>50</v>
      </c>
      <c r="R8" s="58">
        <v>45</v>
      </c>
      <c r="S8" s="50">
        <f>SUM(Q8:R8)</f>
        <v>95</v>
      </c>
      <c r="T8" s="58">
        <v>73</v>
      </c>
      <c r="U8" s="58">
        <v>55</v>
      </c>
      <c r="V8" s="50">
        <f>SUM(T8:U8)</f>
        <v>128</v>
      </c>
      <c r="W8" s="59">
        <v>48</v>
      </c>
      <c r="X8" s="59">
        <v>27</v>
      </c>
      <c r="Y8" s="50">
        <f>SUM(W8:X8)</f>
        <v>75</v>
      </c>
      <c r="Z8" s="58">
        <v>25</v>
      </c>
      <c r="AA8" s="58">
        <v>24</v>
      </c>
      <c r="AB8" s="50">
        <f>SUM(Z8:AA8)</f>
        <v>49</v>
      </c>
      <c r="AC8" s="59">
        <v>16</v>
      </c>
      <c r="AD8" s="59">
        <v>17</v>
      </c>
      <c r="AE8" s="50">
        <f>SUM(AC8:AD8)</f>
        <v>33</v>
      </c>
      <c r="AF8" s="58">
        <v>25</v>
      </c>
      <c r="AG8" s="59">
        <v>22</v>
      </c>
      <c r="AH8" s="50">
        <f>SUM(AF8:AG8)</f>
        <v>47</v>
      </c>
      <c r="AI8" s="58">
        <v>22</v>
      </c>
      <c r="AJ8" s="58">
        <v>21</v>
      </c>
      <c r="AK8" s="50">
        <f>SUM(AI8:AJ8)</f>
        <v>43</v>
      </c>
      <c r="AL8" s="50">
        <v>45</v>
      </c>
      <c r="AM8" s="74">
        <f>AK8+AH8+AE8+AB8+Y8+V8+S8+P8+M8+J8</f>
        <v>824</v>
      </c>
      <c r="AN8" s="41" t="s">
        <v>556</v>
      </c>
      <c r="AO8" s="42"/>
    </row>
    <row r="9" spans="1:41" s="117" customFormat="1" ht="100.5" customHeight="1" x14ac:dyDescent="0.4">
      <c r="A9" s="137">
        <v>2</v>
      </c>
      <c r="B9" s="125">
        <v>180090107002</v>
      </c>
      <c r="C9" s="70">
        <v>180000100228</v>
      </c>
      <c r="D9" s="103">
        <v>180502</v>
      </c>
      <c r="E9" s="145" t="s">
        <v>354</v>
      </c>
      <c r="F9" s="95" t="s">
        <v>355</v>
      </c>
      <c r="G9" s="100"/>
      <c r="H9" s="58">
        <v>75</v>
      </c>
      <c r="I9" s="58">
        <v>56</v>
      </c>
      <c r="J9" s="50">
        <f t="shared" ref="J9:J72" si="0">SUM(H9:I9)</f>
        <v>131</v>
      </c>
      <c r="K9" s="58">
        <v>87</v>
      </c>
      <c r="L9" s="58">
        <v>60</v>
      </c>
      <c r="M9" s="50">
        <f t="shared" ref="M9:M72" si="1">SUM(K9:L9)</f>
        <v>147</v>
      </c>
      <c r="N9" s="58">
        <v>58</v>
      </c>
      <c r="O9" s="58">
        <v>39</v>
      </c>
      <c r="P9" s="50">
        <f t="shared" ref="P9:P72" si="2">SUM(N9:O9)</f>
        <v>97</v>
      </c>
      <c r="Q9" s="58">
        <v>57</v>
      </c>
      <c r="R9" s="58">
        <v>51</v>
      </c>
      <c r="S9" s="50">
        <f t="shared" ref="S9:S72" si="3">SUM(Q9:R9)</f>
        <v>108</v>
      </c>
      <c r="T9" s="58">
        <v>75</v>
      </c>
      <c r="U9" s="58">
        <v>53</v>
      </c>
      <c r="V9" s="50">
        <f t="shared" ref="V9:V72" si="4">SUM(T9:U9)</f>
        <v>128</v>
      </c>
      <c r="W9" s="59">
        <v>47</v>
      </c>
      <c r="X9" s="59">
        <v>33</v>
      </c>
      <c r="Y9" s="50">
        <f t="shared" ref="Y9:Y72" si="5">SUM(W9:X9)</f>
        <v>80</v>
      </c>
      <c r="Z9" s="58">
        <v>23</v>
      </c>
      <c r="AA9" s="58">
        <v>23</v>
      </c>
      <c r="AB9" s="50">
        <f t="shared" ref="AB9:AB72" si="6">SUM(Z9:AA9)</f>
        <v>46</v>
      </c>
      <c r="AC9" s="59">
        <v>19</v>
      </c>
      <c r="AD9" s="59">
        <v>18</v>
      </c>
      <c r="AE9" s="50">
        <f t="shared" ref="AE9:AE72" si="7">SUM(AC9:AD9)</f>
        <v>37</v>
      </c>
      <c r="AF9" s="58">
        <v>24</v>
      </c>
      <c r="AG9" s="59">
        <v>20</v>
      </c>
      <c r="AH9" s="50">
        <f t="shared" ref="AH9:AH72" si="8">SUM(AF9:AG9)</f>
        <v>44</v>
      </c>
      <c r="AI9" s="58">
        <v>20</v>
      </c>
      <c r="AJ9" s="58">
        <v>19</v>
      </c>
      <c r="AK9" s="50">
        <f t="shared" ref="AK9:AK72" si="9">SUM(AI9:AJ9)</f>
        <v>39</v>
      </c>
      <c r="AL9" s="50">
        <v>50</v>
      </c>
      <c r="AM9" s="74">
        <f t="shared" ref="AM9:AM72" si="10">AK9+AH9+AE9+AB9+Y9+V9+S9+P9+M9+J9</f>
        <v>857</v>
      </c>
      <c r="AN9" s="41" t="s">
        <v>556</v>
      </c>
      <c r="AO9" s="118"/>
    </row>
    <row r="10" spans="1:41" s="117" customFormat="1" ht="100.5" customHeight="1" x14ac:dyDescent="0.4">
      <c r="A10" s="137">
        <v>3</v>
      </c>
      <c r="B10" s="125">
        <v>180090107003</v>
      </c>
      <c r="C10" s="70">
        <v>180000100229</v>
      </c>
      <c r="D10" s="103">
        <v>180503</v>
      </c>
      <c r="E10" s="144" t="s">
        <v>356</v>
      </c>
      <c r="F10" s="98" t="s">
        <v>357</v>
      </c>
      <c r="G10" s="100"/>
      <c r="H10" s="58">
        <v>70</v>
      </c>
      <c r="I10" s="58">
        <v>57</v>
      </c>
      <c r="J10" s="50">
        <f t="shared" si="0"/>
        <v>127</v>
      </c>
      <c r="K10" s="58">
        <v>71</v>
      </c>
      <c r="L10" s="58">
        <v>60</v>
      </c>
      <c r="M10" s="50">
        <f t="shared" si="1"/>
        <v>131</v>
      </c>
      <c r="N10" s="58">
        <v>58</v>
      </c>
      <c r="O10" s="58">
        <v>41</v>
      </c>
      <c r="P10" s="50">
        <f t="shared" si="2"/>
        <v>99</v>
      </c>
      <c r="Q10" s="58">
        <v>50</v>
      </c>
      <c r="R10" s="58">
        <v>49</v>
      </c>
      <c r="S10" s="50">
        <f t="shared" si="3"/>
        <v>99</v>
      </c>
      <c r="T10" s="58">
        <v>74</v>
      </c>
      <c r="U10" s="58">
        <v>55</v>
      </c>
      <c r="V10" s="50">
        <f t="shared" si="4"/>
        <v>129</v>
      </c>
      <c r="W10" s="59">
        <v>50</v>
      </c>
      <c r="X10" s="59">
        <v>31</v>
      </c>
      <c r="Y10" s="50">
        <f t="shared" si="5"/>
        <v>81</v>
      </c>
      <c r="Z10" s="58">
        <v>23</v>
      </c>
      <c r="AA10" s="58">
        <v>23</v>
      </c>
      <c r="AB10" s="50">
        <f t="shared" si="6"/>
        <v>46</v>
      </c>
      <c r="AC10" s="59">
        <v>23</v>
      </c>
      <c r="AD10" s="59">
        <v>24</v>
      </c>
      <c r="AE10" s="50">
        <f t="shared" si="7"/>
        <v>47</v>
      </c>
      <c r="AF10" s="58">
        <v>24</v>
      </c>
      <c r="AG10" s="59">
        <v>19</v>
      </c>
      <c r="AH10" s="50">
        <f t="shared" si="8"/>
        <v>43</v>
      </c>
      <c r="AI10" s="58">
        <v>22</v>
      </c>
      <c r="AJ10" s="58">
        <v>21</v>
      </c>
      <c r="AK10" s="50">
        <f t="shared" si="9"/>
        <v>43</v>
      </c>
      <c r="AL10" s="159">
        <v>45</v>
      </c>
      <c r="AM10" s="74">
        <f t="shared" si="10"/>
        <v>845</v>
      </c>
      <c r="AN10" s="41" t="s">
        <v>556</v>
      </c>
      <c r="AO10" s="42"/>
    </row>
    <row r="11" spans="1:41" s="117" customFormat="1" ht="100.5" customHeight="1" x14ac:dyDescent="0.4">
      <c r="A11" s="137">
        <v>4</v>
      </c>
      <c r="B11" s="125">
        <v>180090107004</v>
      </c>
      <c r="C11" s="70">
        <v>180000100230</v>
      </c>
      <c r="D11" s="103">
        <v>180504</v>
      </c>
      <c r="E11" s="144" t="s">
        <v>358</v>
      </c>
      <c r="F11" s="98" t="s">
        <v>359</v>
      </c>
      <c r="G11" s="100"/>
      <c r="H11" s="58">
        <v>64</v>
      </c>
      <c r="I11" s="58">
        <v>57</v>
      </c>
      <c r="J11" s="50">
        <f t="shared" si="0"/>
        <v>121</v>
      </c>
      <c r="K11" s="58">
        <v>62</v>
      </c>
      <c r="L11" s="58">
        <v>42</v>
      </c>
      <c r="M11" s="50">
        <f t="shared" si="1"/>
        <v>104</v>
      </c>
      <c r="N11" s="58">
        <v>54</v>
      </c>
      <c r="O11" s="58">
        <v>39</v>
      </c>
      <c r="P11" s="50">
        <f t="shared" si="2"/>
        <v>93</v>
      </c>
      <c r="Q11" s="58">
        <v>53</v>
      </c>
      <c r="R11" s="58">
        <v>27</v>
      </c>
      <c r="S11" s="50">
        <f t="shared" si="3"/>
        <v>80</v>
      </c>
      <c r="T11" s="58">
        <v>72</v>
      </c>
      <c r="U11" s="58">
        <v>54</v>
      </c>
      <c r="V11" s="50">
        <f t="shared" si="4"/>
        <v>126</v>
      </c>
      <c r="W11" s="59">
        <v>46</v>
      </c>
      <c r="X11" s="59">
        <v>21</v>
      </c>
      <c r="Y11" s="50">
        <f t="shared" si="5"/>
        <v>67</v>
      </c>
      <c r="Z11" s="58">
        <v>23</v>
      </c>
      <c r="AA11" s="58">
        <v>23</v>
      </c>
      <c r="AB11" s="50">
        <f t="shared" si="6"/>
        <v>46</v>
      </c>
      <c r="AC11" s="59" t="s">
        <v>557</v>
      </c>
      <c r="AD11" s="59">
        <v>15</v>
      </c>
      <c r="AE11" s="50">
        <f t="shared" si="7"/>
        <v>15</v>
      </c>
      <c r="AF11" s="58">
        <v>23</v>
      </c>
      <c r="AG11" s="59">
        <v>25</v>
      </c>
      <c r="AH11" s="50">
        <f t="shared" si="8"/>
        <v>48</v>
      </c>
      <c r="AI11" s="58" t="s">
        <v>557</v>
      </c>
      <c r="AJ11" s="58">
        <v>13</v>
      </c>
      <c r="AK11" s="50">
        <f t="shared" si="9"/>
        <v>13</v>
      </c>
      <c r="AL11" s="50">
        <v>50</v>
      </c>
      <c r="AM11" s="74">
        <f t="shared" si="10"/>
        <v>713</v>
      </c>
      <c r="AN11" s="129" t="s">
        <v>591</v>
      </c>
      <c r="AO11" s="91" t="s">
        <v>597</v>
      </c>
    </row>
    <row r="12" spans="1:41" s="117" customFormat="1" ht="100.5" customHeight="1" x14ac:dyDescent="0.4">
      <c r="A12" s="137">
        <v>5</v>
      </c>
      <c r="B12" s="125">
        <v>180090107005</v>
      </c>
      <c r="C12" s="70">
        <v>180000100231</v>
      </c>
      <c r="D12" s="103">
        <v>180505</v>
      </c>
      <c r="E12" s="144" t="s">
        <v>360</v>
      </c>
      <c r="F12" s="98" t="s">
        <v>361</v>
      </c>
      <c r="G12" s="100"/>
      <c r="H12" s="58">
        <v>65</v>
      </c>
      <c r="I12" s="58">
        <v>57</v>
      </c>
      <c r="J12" s="50">
        <f t="shared" si="0"/>
        <v>122</v>
      </c>
      <c r="K12" s="58">
        <v>84</v>
      </c>
      <c r="L12" s="58">
        <v>60</v>
      </c>
      <c r="M12" s="50">
        <f t="shared" si="1"/>
        <v>144</v>
      </c>
      <c r="N12" s="58">
        <v>60</v>
      </c>
      <c r="O12" s="58">
        <v>41</v>
      </c>
      <c r="P12" s="50">
        <f t="shared" si="2"/>
        <v>101</v>
      </c>
      <c r="Q12" s="58">
        <v>60</v>
      </c>
      <c r="R12" s="58">
        <v>47</v>
      </c>
      <c r="S12" s="50">
        <f t="shared" si="3"/>
        <v>107</v>
      </c>
      <c r="T12" s="58">
        <v>73</v>
      </c>
      <c r="U12" s="58">
        <v>55</v>
      </c>
      <c r="V12" s="50">
        <f t="shared" si="4"/>
        <v>128</v>
      </c>
      <c r="W12" s="59">
        <v>48</v>
      </c>
      <c r="X12" s="59">
        <v>35</v>
      </c>
      <c r="Y12" s="50">
        <f t="shared" si="5"/>
        <v>83</v>
      </c>
      <c r="Z12" s="58">
        <v>23</v>
      </c>
      <c r="AA12" s="58">
        <v>23</v>
      </c>
      <c r="AB12" s="50">
        <f t="shared" si="6"/>
        <v>46</v>
      </c>
      <c r="AC12" s="59">
        <v>24</v>
      </c>
      <c r="AD12" s="59">
        <v>24</v>
      </c>
      <c r="AE12" s="50">
        <f t="shared" si="7"/>
        <v>48</v>
      </c>
      <c r="AF12" s="58">
        <v>23</v>
      </c>
      <c r="AG12" s="59">
        <v>25</v>
      </c>
      <c r="AH12" s="50">
        <f t="shared" si="8"/>
        <v>48</v>
      </c>
      <c r="AI12" s="58">
        <v>23</v>
      </c>
      <c r="AJ12" s="58">
        <v>22</v>
      </c>
      <c r="AK12" s="50">
        <f t="shared" si="9"/>
        <v>45</v>
      </c>
      <c r="AL12" s="50">
        <v>45</v>
      </c>
      <c r="AM12" s="74">
        <f t="shared" si="10"/>
        <v>872</v>
      </c>
      <c r="AN12" s="41" t="s">
        <v>556</v>
      </c>
      <c r="AO12" s="42"/>
    </row>
    <row r="13" spans="1:41" s="117" customFormat="1" ht="100.5" customHeight="1" x14ac:dyDescent="0.4">
      <c r="A13" s="137">
        <v>6</v>
      </c>
      <c r="B13" s="125">
        <v>180090107006</v>
      </c>
      <c r="C13" s="70">
        <v>180000100232</v>
      </c>
      <c r="D13" s="103">
        <v>180506</v>
      </c>
      <c r="E13" s="145" t="s">
        <v>362</v>
      </c>
      <c r="F13" s="95" t="s">
        <v>363</v>
      </c>
      <c r="G13" s="100"/>
      <c r="H13" s="58">
        <v>64</v>
      </c>
      <c r="I13" s="58">
        <v>45</v>
      </c>
      <c r="J13" s="50">
        <f t="shared" si="0"/>
        <v>109</v>
      </c>
      <c r="K13" s="58">
        <v>75</v>
      </c>
      <c r="L13" s="58">
        <v>57</v>
      </c>
      <c r="M13" s="50">
        <f t="shared" si="1"/>
        <v>132</v>
      </c>
      <c r="N13" s="58">
        <v>59</v>
      </c>
      <c r="O13" s="58">
        <v>39</v>
      </c>
      <c r="P13" s="50">
        <f t="shared" si="2"/>
        <v>98</v>
      </c>
      <c r="Q13" s="58">
        <v>56</v>
      </c>
      <c r="R13" s="58">
        <v>40</v>
      </c>
      <c r="S13" s="50">
        <f t="shared" si="3"/>
        <v>96</v>
      </c>
      <c r="T13" s="58">
        <v>76</v>
      </c>
      <c r="U13" s="58">
        <v>45</v>
      </c>
      <c r="V13" s="50">
        <f t="shared" si="4"/>
        <v>121</v>
      </c>
      <c r="W13" s="59">
        <v>43</v>
      </c>
      <c r="X13" s="59">
        <v>27</v>
      </c>
      <c r="Y13" s="50">
        <f t="shared" si="5"/>
        <v>70</v>
      </c>
      <c r="Z13" s="58">
        <v>20</v>
      </c>
      <c r="AA13" s="58">
        <v>20</v>
      </c>
      <c r="AB13" s="50">
        <f t="shared" si="6"/>
        <v>40</v>
      </c>
      <c r="AC13" s="59">
        <v>17</v>
      </c>
      <c r="AD13" s="59">
        <v>17</v>
      </c>
      <c r="AE13" s="50">
        <f t="shared" si="7"/>
        <v>34</v>
      </c>
      <c r="AF13" s="58">
        <v>24</v>
      </c>
      <c r="AG13" s="59">
        <v>22</v>
      </c>
      <c r="AH13" s="50">
        <f t="shared" si="8"/>
        <v>46</v>
      </c>
      <c r="AI13" s="58">
        <v>17</v>
      </c>
      <c r="AJ13" s="58">
        <v>17</v>
      </c>
      <c r="AK13" s="50">
        <f t="shared" si="9"/>
        <v>34</v>
      </c>
      <c r="AL13" s="159">
        <v>45</v>
      </c>
      <c r="AM13" s="74">
        <f t="shared" si="10"/>
        <v>780</v>
      </c>
      <c r="AN13" s="41" t="s">
        <v>556</v>
      </c>
      <c r="AO13" s="42"/>
    </row>
    <row r="14" spans="1:41" s="117" customFormat="1" ht="100.5" customHeight="1" x14ac:dyDescent="0.4">
      <c r="A14" s="137">
        <v>7</v>
      </c>
      <c r="B14" s="125">
        <v>180090107007</v>
      </c>
      <c r="C14" s="70">
        <v>180000100233</v>
      </c>
      <c r="D14" s="103">
        <v>180507</v>
      </c>
      <c r="E14" s="145" t="s">
        <v>364</v>
      </c>
      <c r="F14" s="95" t="s">
        <v>30</v>
      </c>
      <c r="G14" s="100"/>
      <c r="H14" s="58">
        <v>65</v>
      </c>
      <c r="I14" s="58">
        <v>53</v>
      </c>
      <c r="J14" s="50">
        <f t="shared" si="0"/>
        <v>118</v>
      </c>
      <c r="K14" s="58">
        <v>65</v>
      </c>
      <c r="L14" s="58">
        <v>60</v>
      </c>
      <c r="M14" s="50">
        <f t="shared" si="1"/>
        <v>125</v>
      </c>
      <c r="N14" s="58">
        <v>57</v>
      </c>
      <c r="O14" s="58">
        <v>41</v>
      </c>
      <c r="P14" s="50">
        <f t="shared" si="2"/>
        <v>98</v>
      </c>
      <c r="Q14" s="58">
        <v>50</v>
      </c>
      <c r="R14" s="58">
        <v>47</v>
      </c>
      <c r="S14" s="50">
        <f t="shared" si="3"/>
        <v>97</v>
      </c>
      <c r="T14" s="58">
        <v>76</v>
      </c>
      <c r="U14" s="58">
        <v>53</v>
      </c>
      <c r="V14" s="50">
        <f t="shared" si="4"/>
        <v>129</v>
      </c>
      <c r="W14" s="59">
        <v>43</v>
      </c>
      <c r="X14" s="59">
        <v>31</v>
      </c>
      <c r="Y14" s="50">
        <f t="shared" si="5"/>
        <v>74</v>
      </c>
      <c r="Z14" s="58">
        <v>24</v>
      </c>
      <c r="AA14" s="58">
        <v>23</v>
      </c>
      <c r="AB14" s="50">
        <f t="shared" si="6"/>
        <v>47</v>
      </c>
      <c r="AC14" s="59">
        <v>18</v>
      </c>
      <c r="AD14" s="59">
        <v>17</v>
      </c>
      <c r="AE14" s="50">
        <f t="shared" si="7"/>
        <v>35</v>
      </c>
      <c r="AF14" s="58">
        <v>23</v>
      </c>
      <c r="AG14" s="59">
        <v>23</v>
      </c>
      <c r="AH14" s="50">
        <f t="shared" si="8"/>
        <v>46</v>
      </c>
      <c r="AI14" s="58">
        <v>17</v>
      </c>
      <c r="AJ14" s="58">
        <v>17</v>
      </c>
      <c r="AK14" s="50">
        <f t="shared" si="9"/>
        <v>34</v>
      </c>
      <c r="AL14" s="50">
        <v>45</v>
      </c>
      <c r="AM14" s="74">
        <f t="shared" si="10"/>
        <v>803</v>
      </c>
      <c r="AN14" s="41" t="s">
        <v>556</v>
      </c>
      <c r="AO14" s="42"/>
    </row>
    <row r="15" spans="1:41" s="117" customFormat="1" ht="100.5" customHeight="1" x14ac:dyDescent="0.4">
      <c r="A15" s="137">
        <v>8</v>
      </c>
      <c r="B15" s="125">
        <v>180090107008</v>
      </c>
      <c r="C15" s="70">
        <v>180000100234</v>
      </c>
      <c r="D15" s="103">
        <v>180508</v>
      </c>
      <c r="E15" s="145" t="s">
        <v>365</v>
      </c>
      <c r="F15" s="95" t="s">
        <v>366</v>
      </c>
      <c r="G15" s="100"/>
      <c r="H15" s="58">
        <v>67</v>
      </c>
      <c r="I15" s="58">
        <v>60</v>
      </c>
      <c r="J15" s="50">
        <f t="shared" si="0"/>
        <v>127</v>
      </c>
      <c r="K15" s="58">
        <v>83</v>
      </c>
      <c r="L15" s="58">
        <v>60</v>
      </c>
      <c r="M15" s="50">
        <f t="shared" si="1"/>
        <v>143</v>
      </c>
      <c r="N15" s="58">
        <v>59</v>
      </c>
      <c r="O15" s="58">
        <v>38</v>
      </c>
      <c r="P15" s="50">
        <f t="shared" si="2"/>
        <v>97</v>
      </c>
      <c r="Q15" s="58">
        <v>54</v>
      </c>
      <c r="R15" s="58">
        <v>47</v>
      </c>
      <c r="S15" s="50">
        <f t="shared" si="3"/>
        <v>101</v>
      </c>
      <c r="T15" s="58">
        <v>70</v>
      </c>
      <c r="U15" s="58">
        <v>57</v>
      </c>
      <c r="V15" s="50">
        <f t="shared" si="4"/>
        <v>127</v>
      </c>
      <c r="W15" s="59">
        <v>48</v>
      </c>
      <c r="X15" s="59">
        <v>35</v>
      </c>
      <c r="Y15" s="50">
        <f t="shared" si="5"/>
        <v>83</v>
      </c>
      <c r="Z15" s="58">
        <v>24</v>
      </c>
      <c r="AA15" s="58">
        <v>24</v>
      </c>
      <c r="AB15" s="50">
        <f t="shared" si="6"/>
        <v>48</v>
      </c>
      <c r="AC15" s="59">
        <v>24</v>
      </c>
      <c r="AD15" s="59">
        <v>24</v>
      </c>
      <c r="AE15" s="50">
        <f t="shared" si="7"/>
        <v>48</v>
      </c>
      <c r="AF15" s="58">
        <v>25</v>
      </c>
      <c r="AG15" s="59">
        <v>24</v>
      </c>
      <c r="AH15" s="50">
        <f t="shared" si="8"/>
        <v>49</v>
      </c>
      <c r="AI15" s="58">
        <v>22</v>
      </c>
      <c r="AJ15" s="58">
        <v>21</v>
      </c>
      <c r="AK15" s="50">
        <f t="shared" si="9"/>
        <v>43</v>
      </c>
      <c r="AL15" s="50">
        <v>45</v>
      </c>
      <c r="AM15" s="74">
        <f t="shared" si="10"/>
        <v>866</v>
      </c>
      <c r="AN15" s="41" t="s">
        <v>556</v>
      </c>
      <c r="AO15" s="42"/>
    </row>
    <row r="16" spans="1:41" s="117" customFormat="1" ht="100.5" customHeight="1" x14ac:dyDescent="0.4">
      <c r="A16" s="137">
        <v>9</v>
      </c>
      <c r="B16" s="125">
        <v>180090107009</v>
      </c>
      <c r="C16" s="70">
        <v>180000100235</v>
      </c>
      <c r="D16" s="103">
        <v>180509</v>
      </c>
      <c r="E16" s="145" t="s">
        <v>367</v>
      </c>
      <c r="F16" s="95" t="s">
        <v>368</v>
      </c>
      <c r="G16" s="100"/>
      <c r="H16" s="58">
        <v>68</v>
      </c>
      <c r="I16" s="58">
        <v>56</v>
      </c>
      <c r="J16" s="50">
        <f t="shared" si="0"/>
        <v>124</v>
      </c>
      <c r="K16" s="58">
        <v>87</v>
      </c>
      <c r="L16" s="58">
        <v>60</v>
      </c>
      <c r="M16" s="50">
        <f t="shared" si="1"/>
        <v>147</v>
      </c>
      <c r="N16" s="58">
        <v>58</v>
      </c>
      <c r="O16" s="58">
        <v>39</v>
      </c>
      <c r="P16" s="50">
        <f t="shared" si="2"/>
        <v>97</v>
      </c>
      <c r="Q16" s="58">
        <v>51</v>
      </c>
      <c r="R16" s="58">
        <v>50</v>
      </c>
      <c r="S16" s="50">
        <f t="shared" si="3"/>
        <v>101</v>
      </c>
      <c r="T16" s="58">
        <v>75</v>
      </c>
      <c r="U16" s="58">
        <v>53</v>
      </c>
      <c r="V16" s="50">
        <f t="shared" si="4"/>
        <v>128</v>
      </c>
      <c r="W16" s="59">
        <v>41</v>
      </c>
      <c r="X16" s="59">
        <v>33</v>
      </c>
      <c r="Y16" s="50">
        <f t="shared" si="5"/>
        <v>74</v>
      </c>
      <c r="Z16" s="58">
        <v>23</v>
      </c>
      <c r="AA16" s="58">
        <v>23</v>
      </c>
      <c r="AB16" s="50">
        <f t="shared" si="6"/>
        <v>46</v>
      </c>
      <c r="AC16" s="59">
        <v>16</v>
      </c>
      <c r="AD16" s="59">
        <v>16</v>
      </c>
      <c r="AE16" s="50">
        <f t="shared" si="7"/>
        <v>32</v>
      </c>
      <c r="AF16" s="58">
        <v>24</v>
      </c>
      <c r="AG16" s="59">
        <v>23</v>
      </c>
      <c r="AH16" s="50">
        <f t="shared" si="8"/>
        <v>47</v>
      </c>
      <c r="AI16" s="58">
        <v>23</v>
      </c>
      <c r="AJ16" s="58">
        <v>22</v>
      </c>
      <c r="AK16" s="50">
        <f t="shared" si="9"/>
        <v>45</v>
      </c>
      <c r="AL16" s="159">
        <v>50</v>
      </c>
      <c r="AM16" s="74">
        <f t="shared" si="10"/>
        <v>841</v>
      </c>
      <c r="AN16" s="41" t="s">
        <v>556</v>
      </c>
      <c r="AO16" s="42"/>
    </row>
    <row r="17" spans="1:41" s="117" customFormat="1" ht="100.5" customHeight="1" x14ac:dyDescent="0.4">
      <c r="A17" s="137">
        <v>10</v>
      </c>
      <c r="B17" s="125">
        <v>180090107010</v>
      </c>
      <c r="C17" s="70">
        <v>180000100236</v>
      </c>
      <c r="D17" s="103">
        <v>180510</v>
      </c>
      <c r="E17" s="145" t="s">
        <v>369</v>
      </c>
      <c r="F17" s="95" t="s">
        <v>370</v>
      </c>
      <c r="G17" s="100"/>
      <c r="H17" s="58">
        <v>72</v>
      </c>
      <c r="I17" s="58">
        <v>56</v>
      </c>
      <c r="J17" s="50">
        <f t="shared" si="0"/>
        <v>128</v>
      </c>
      <c r="K17" s="58">
        <v>89</v>
      </c>
      <c r="L17" s="58">
        <v>55</v>
      </c>
      <c r="M17" s="50">
        <f t="shared" si="1"/>
        <v>144</v>
      </c>
      <c r="N17" s="58">
        <v>58</v>
      </c>
      <c r="O17" s="58">
        <v>41</v>
      </c>
      <c r="P17" s="50">
        <f t="shared" si="2"/>
        <v>99</v>
      </c>
      <c r="Q17" s="58">
        <v>60</v>
      </c>
      <c r="R17" s="58">
        <v>50</v>
      </c>
      <c r="S17" s="50">
        <f t="shared" si="3"/>
        <v>110</v>
      </c>
      <c r="T17" s="58">
        <v>73</v>
      </c>
      <c r="U17" s="58">
        <v>53</v>
      </c>
      <c r="V17" s="50">
        <f t="shared" si="4"/>
        <v>126</v>
      </c>
      <c r="W17" s="59">
        <v>48</v>
      </c>
      <c r="X17" s="59">
        <v>35</v>
      </c>
      <c r="Y17" s="50">
        <f t="shared" si="5"/>
        <v>83</v>
      </c>
      <c r="Z17" s="58">
        <v>23</v>
      </c>
      <c r="AA17" s="58">
        <v>23</v>
      </c>
      <c r="AB17" s="50">
        <f t="shared" si="6"/>
        <v>46</v>
      </c>
      <c r="AC17" s="59">
        <v>17</v>
      </c>
      <c r="AD17" s="59">
        <v>17</v>
      </c>
      <c r="AE17" s="50">
        <f t="shared" si="7"/>
        <v>34</v>
      </c>
      <c r="AF17" s="58">
        <v>23</v>
      </c>
      <c r="AG17" s="59">
        <v>21</v>
      </c>
      <c r="AH17" s="50">
        <f t="shared" si="8"/>
        <v>44</v>
      </c>
      <c r="AI17" s="58">
        <v>24</v>
      </c>
      <c r="AJ17" s="58">
        <v>23</v>
      </c>
      <c r="AK17" s="50">
        <f t="shared" si="9"/>
        <v>47</v>
      </c>
      <c r="AL17" s="50">
        <v>45</v>
      </c>
      <c r="AM17" s="74">
        <f t="shared" si="10"/>
        <v>861</v>
      </c>
      <c r="AN17" s="41" t="s">
        <v>556</v>
      </c>
      <c r="AO17" s="42"/>
    </row>
    <row r="18" spans="1:41" s="117" customFormat="1" ht="100.5" customHeight="1" x14ac:dyDescent="0.4">
      <c r="A18" s="137">
        <v>11</v>
      </c>
      <c r="B18" s="125">
        <v>180090107011</v>
      </c>
      <c r="C18" s="70">
        <v>180000100237</v>
      </c>
      <c r="D18" s="103">
        <v>180511</v>
      </c>
      <c r="E18" s="145" t="s">
        <v>371</v>
      </c>
      <c r="F18" s="95" t="s">
        <v>372</v>
      </c>
      <c r="G18" s="100"/>
      <c r="H18" s="58">
        <v>78</v>
      </c>
      <c r="I18" s="58">
        <v>54</v>
      </c>
      <c r="J18" s="50">
        <f t="shared" si="0"/>
        <v>132</v>
      </c>
      <c r="K18" s="58">
        <v>84</v>
      </c>
      <c r="L18" s="58">
        <v>48</v>
      </c>
      <c r="M18" s="50">
        <f t="shared" si="1"/>
        <v>132</v>
      </c>
      <c r="N18" s="58">
        <v>55</v>
      </c>
      <c r="O18" s="58">
        <v>37</v>
      </c>
      <c r="P18" s="50">
        <f t="shared" si="2"/>
        <v>92</v>
      </c>
      <c r="Q18" s="58">
        <v>54</v>
      </c>
      <c r="R18" s="58">
        <v>36</v>
      </c>
      <c r="S18" s="50">
        <f t="shared" si="3"/>
        <v>90</v>
      </c>
      <c r="T18" s="58">
        <v>77</v>
      </c>
      <c r="U18" s="58">
        <v>54</v>
      </c>
      <c r="V18" s="50">
        <f t="shared" si="4"/>
        <v>131</v>
      </c>
      <c r="W18" s="59">
        <v>43</v>
      </c>
      <c r="X18" s="59">
        <v>29</v>
      </c>
      <c r="Y18" s="50">
        <f t="shared" si="5"/>
        <v>72</v>
      </c>
      <c r="Z18" s="58">
        <v>24</v>
      </c>
      <c r="AA18" s="58">
        <v>24</v>
      </c>
      <c r="AB18" s="50">
        <f t="shared" si="6"/>
        <v>48</v>
      </c>
      <c r="AC18" s="59">
        <v>17</v>
      </c>
      <c r="AD18" s="59">
        <v>17</v>
      </c>
      <c r="AE18" s="50">
        <f t="shared" si="7"/>
        <v>34</v>
      </c>
      <c r="AF18" s="58">
        <v>24</v>
      </c>
      <c r="AG18" s="59">
        <v>24</v>
      </c>
      <c r="AH18" s="50">
        <f t="shared" si="8"/>
        <v>48</v>
      </c>
      <c r="AI18" s="58">
        <v>22</v>
      </c>
      <c r="AJ18" s="58">
        <v>21</v>
      </c>
      <c r="AK18" s="50">
        <f t="shared" si="9"/>
        <v>43</v>
      </c>
      <c r="AL18" s="50">
        <v>50</v>
      </c>
      <c r="AM18" s="74">
        <f t="shared" si="10"/>
        <v>822</v>
      </c>
      <c r="AN18" s="41" t="s">
        <v>556</v>
      </c>
      <c r="AO18" s="42"/>
    </row>
    <row r="19" spans="1:41" s="117" customFormat="1" ht="100.5" customHeight="1" x14ac:dyDescent="0.4">
      <c r="A19" s="137">
        <v>12</v>
      </c>
      <c r="B19" s="125">
        <v>180090107012</v>
      </c>
      <c r="C19" s="70">
        <v>180000100238</v>
      </c>
      <c r="D19" s="103">
        <v>180512</v>
      </c>
      <c r="E19" s="145" t="s">
        <v>228</v>
      </c>
      <c r="F19" s="95" t="s">
        <v>373</v>
      </c>
      <c r="G19" s="100"/>
      <c r="H19" s="58">
        <v>64</v>
      </c>
      <c r="I19" s="58">
        <v>54</v>
      </c>
      <c r="J19" s="50">
        <f t="shared" si="0"/>
        <v>118</v>
      </c>
      <c r="K19" s="58">
        <v>72</v>
      </c>
      <c r="L19" s="58">
        <v>48</v>
      </c>
      <c r="M19" s="50">
        <f t="shared" si="1"/>
        <v>120</v>
      </c>
      <c r="N19" s="58">
        <v>58</v>
      </c>
      <c r="O19" s="58">
        <v>41</v>
      </c>
      <c r="P19" s="50">
        <f t="shared" si="2"/>
        <v>99</v>
      </c>
      <c r="Q19" s="58">
        <v>47</v>
      </c>
      <c r="R19" s="58">
        <v>51</v>
      </c>
      <c r="S19" s="50">
        <f t="shared" si="3"/>
        <v>98</v>
      </c>
      <c r="T19" s="58">
        <v>76</v>
      </c>
      <c r="U19" s="58">
        <v>54</v>
      </c>
      <c r="V19" s="50">
        <f t="shared" si="4"/>
        <v>130</v>
      </c>
      <c r="W19" s="59">
        <v>51</v>
      </c>
      <c r="X19" s="59">
        <v>33</v>
      </c>
      <c r="Y19" s="50">
        <f t="shared" si="5"/>
        <v>84</v>
      </c>
      <c r="Z19" s="58">
        <v>23</v>
      </c>
      <c r="AA19" s="58">
        <v>23</v>
      </c>
      <c r="AB19" s="50">
        <f t="shared" si="6"/>
        <v>46</v>
      </c>
      <c r="AC19" s="59">
        <v>21</v>
      </c>
      <c r="AD19" s="59">
        <v>20</v>
      </c>
      <c r="AE19" s="50">
        <f t="shared" si="7"/>
        <v>41</v>
      </c>
      <c r="AF19" s="58">
        <v>24</v>
      </c>
      <c r="AG19" s="59">
        <v>24</v>
      </c>
      <c r="AH19" s="50">
        <f t="shared" si="8"/>
        <v>48</v>
      </c>
      <c r="AI19" s="58">
        <v>23</v>
      </c>
      <c r="AJ19" s="58">
        <v>22</v>
      </c>
      <c r="AK19" s="50">
        <f t="shared" si="9"/>
        <v>45</v>
      </c>
      <c r="AL19" s="159">
        <v>45</v>
      </c>
      <c r="AM19" s="74">
        <f t="shared" si="10"/>
        <v>829</v>
      </c>
      <c r="AN19" s="41" t="s">
        <v>556</v>
      </c>
      <c r="AO19" s="42"/>
    </row>
    <row r="20" spans="1:41" s="117" customFormat="1" ht="100.5" customHeight="1" x14ac:dyDescent="0.4">
      <c r="A20" s="137">
        <v>13</v>
      </c>
      <c r="B20" s="125">
        <v>180090107013</v>
      </c>
      <c r="C20" s="70">
        <v>180000100239</v>
      </c>
      <c r="D20" s="103">
        <v>180513</v>
      </c>
      <c r="E20" s="144" t="s">
        <v>374</v>
      </c>
      <c r="F20" s="98" t="s">
        <v>375</v>
      </c>
      <c r="G20" s="100"/>
      <c r="H20" s="58">
        <v>65</v>
      </c>
      <c r="I20" s="58">
        <v>56</v>
      </c>
      <c r="J20" s="50">
        <f t="shared" si="0"/>
        <v>121</v>
      </c>
      <c r="K20" s="58">
        <v>68</v>
      </c>
      <c r="L20" s="58">
        <v>54</v>
      </c>
      <c r="M20" s="50">
        <f t="shared" si="1"/>
        <v>122</v>
      </c>
      <c r="N20" s="58">
        <v>57</v>
      </c>
      <c r="O20" s="58">
        <v>47</v>
      </c>
      <c r="P20" s="50">
        <f t="shared" si="2"/>
        <v>104</v>
      </c>
      <c r="Q20" s="58">
        <v>47</v>
      </c>
      <c r="R20" s="58">
        <v>48</v>
      </c>
      <c r="S20" s="50">
        <f t="shared" si="3"/>
        <v>95</v>
      </c>
      <c r="T20" s="58">
        <v>73</v>
      </c>
      <c r="U20" s="58">
        <v>56</v>
      </c>
      <c r="V20" s="50">
        <f t="shared" si="4"/>
        <v>129</v>
      </c>
      <c r="W20" s="59">
        <v>49</v>
      </c>
      <c r="X20" s="59">
        <v>33</v>
      </c>
      <c r="Y20" s="50">
        <f t="shared" si="5"/>
        <v>82</v>
      </c>
      <c r="Z20" s="58">
        <v>23</v>
      </c>
      <c r="AA20" s="58">
        <v>23</v>
      </c>
      <c r="AB20" s="50">
        <f t="shared" si="6"/>
        <v>46</v>
      </c>
      <c r="AC20" s="59">
        <v>19</v>
      </c>
      <c r="AD20" s="59">
        <v>19</v>
      </c>
      <c r="AE20" s="50">
        <f t="shared" si="7"/>
        <v>38</v>
      </c>
      <c r="AF20" s="58">
        <v>24</v>
      </c>
      <c r="AG20" s="59">
        <v>21</v>
      </c>
      <c r="AH20" s="50">
        <f t="shared" si="8"/>
        <v>45</v>
      </c>
      <c r="AI20" s="58">
        <v>24</v>
      </c>
      <c r="AJ20" s="58">
        <v>23</v>
      </c>
      <c r="AK20" s="50">
        <f t="shared" si="9"/>
        <v>47</v>
      </c>
      <c r="AL20" s="50">
        <v>45</v>
      </c>
      <c r="AM20" s="74">
        <f t="shared" si="10"/>
        <v>829</v>
      </c>
      <c r="AN20" s="41" t="s">
        <v>556</v>
      </c>
      <c r="AO20" s="119"/>
    </row>
    <row r="21" spans="1:41" s="117" customFormat="1" ht="100.5" customHeight="1" x14ac:dyDescent="0.4">
      <c r="A21" s="137">
        <v>14</v>
      </c>
      <c r="B21" s="125">
        <v>180090107014</v>
      </c>
      <c r="C21" s="70">
        <v>180000100240</v>
      </c>
      <c r="D21" s="103">
        <v>180514</v>
      </c>
      <c r="E21" s="145" t="s">
        <v>376</v>
      </c>
      <c r="F21" s="95" t="s">
        <v>377</v>
      </c>
      <c r="G21" s="100"/>
      <c r="H21" s="58">
        <v>73</v>
      </c>
      <c r="I21" s="58">
        <v>57</v>
      </c>
      <c r="J21" s="50">
        <f t="shared" si="0"/>
        <v>130</v>
      </c>
      <c r="K21" s="58">
        <v>59</v>
      </c>
      <c r="L21" s="58">
        <v>51</v>
      </c>
      <c r="M21" s="50">
        <f t="shared" si="1"/>
        <v>110</v>
      </c>
      <c r="N21" s="58">
        <v>58</v>
      </c>
      <c r="O21" s="58">
        <v>39</v>
      </c>
      <c r="P21" s="50">
        <f t="shared" si="2"/>
        <v>97</v>
      </c>
      <c r="Q21" s="58">
        <v>50</v>
      </c>
      <c r="R21" s="58">
        <v>31</v>
      </c>
      <c r="S21" s="50">
        <f t="shared" si="3"/>
        <v>81</v>
      </c>
      <c r="T21" s="58">
        <v>73</v>
      </c>
      <c r="U21" s="58">
        <v>57</v>
      </c>
      <c r="V21" s="50">
        <f t="shared" si="4"/>
        <v>130</v>
      </c>
      <c r="W21" s="59">
        <v>47</v>
      </c>
      <c r="X21" s="59">
        <v>31</v>
      </c>
      <c r="Y21" s="50">
        <f t="shared" si="5"/>
        <v>78</v>
      </c>
      <c r="Z21" s="58">
        <v>24</v>
      </c>
      <c r="AA21" s="58">
        <v>24</v>
      </c>
      <c r="AB21" s="50">
        <f t="shared" si="6"/>
        <v>48</v>
      </c>
      <c r="AC21" s="59" t="s">
        <v>557</v>
      </c>
      <c r="AD21" s="59">
        <v>15</v>
      </c>
      <c r="AE21" s="50">
        <f t="shared" si="7"/>
        <v>15</v>
      </c>
      <c r="AF21" s="58">
        <v>25</v>
      </c>
      <c r="AG21" s="59">
        <v>22</v>
      </c>
      <c r="AH21" s="50">
        <f t="shared" si="8"/>
        <v>47</v>
      </c>
      <c r="AI21" s="58">
        <v>22</v>
      </c>
      <c r="AJ21" s="58">
        <v>21</v>
      </c>
      <c r="AK21" s="50">
        <f t="shared" si="9"/>
        <v>43</v>
      </c>
      <c r="AL21" s="50">
        <v>45</v>
      </c>
      <c r="AM21" s="74">
        <f t="shared" si="10"/>
        <v>779</v>
      </c>
      <c r="AN21" s="129" t="s">
        <v>591</v>
      </c>
      <c r="AO21" s="91" t="s">
        <v>592</v>
      </c>
    </row>
    <row r="22" spans="1:41" s="117" customFormat="1" ht="100.5" customHeight="1" x14ac:dyDescent="0.4">
      <c r="A22" s="137">
        <v>15</v>
      </c>
      <c r="B22" s="125">
        <v>180090107015</v>
      </c>
      <c r="C22" s="70">
        <v>180000100241</v>
      </c>
      <c r="D22" s="103">
        <v>180515</v>
      </c>
      <c r="E22" s="144" t="s">
        <v>378</v>
      </c>
      <c r="F22" s="98" t="s">
        <v>379</v>
      </c>
      <c r="G22" s="100"/>
      <c r="H22" s="58">
        <v>75</v>
      </c>
      <c r="I22" s="58">
        <v>56</v>
      </c>
      <c r="J22" s="50">
        <f t="shared" si="0"/>
        <v>131</v>
      </c>
      <c r="K22" s="58">
        <v>75</v>
      </c>
      <c r="L22" s="58">
        <v>60</v>
      </c>
      <c r="M22" s="50">
        <f t="shared" si="1"/>
        <v>135</v>
      </c>
      <c r="N22" s="58">
        <v>58</v>
      </c>
      <c r="O22" s="58">
        <v>41</v>
      </c>
      <c r="P22" s="50">
        <f t="shared" si="2"/>
        <v>99</v>
      </c>
      <c r="Q22" s="58">
        <v>56</v>
      </c>
      <c r="R22" s="58">
        <v>50</v>
      </c>
      <c r="S22" s="50">
        <f t="shared" si="3"/>
        <v>106</v>
      </c>
      <c r="T22" s="58">
        <v>75</v>
      </c>
      <c r="U22" s="58">
        <v>56</v>
      </c>
      <c r="V22" s="50">
        <f t="shared" si="4"/>
        <v>131</v>
      </c>
      <c r="W22" s="59">
        <v>40</v>
      </c>
      <c r="X22" s="59">
        <v>37</v>
      </c>
      <c r="Y22" s="50">
        <f t="shared" si="5"/>
        <v>77</v>
      </c>
      <c r="Z22" s="58">
        <v>23</v>
      </c>
      <c r="AA22" s="58">
        <v>22</v>
      </c>
      <c r="AB22" s="50">
        <f t="shared" si="6"/>
        <v>45</v>
      </c>
      <c r="AC22" s="59">
        <v>23</v>
      </c>
      <c r="AD22" s="59">
        <v>23</v>
      </c>
      <c r="AE22" s="50">
        <f t="shared" si="7"/>
        <v>46</v>
      </c>
      <c r="AF22" s="58">
        <v>24</v>
      </c>
      <c r="AG22" s="59">
        <v>21</v>
      </c>
      <c r="AH22" s="50">
        <f t="shared" si="8"/>
        <v>45</v>
      </c>
      <c r="AI22" s="58">
        <v>23</v>
      </c>
      <c r="AJ22" s="58">
        <v>22</v>
      </c>
      <c r="AK22" s="50">
        <f t="shared" si="9"/>
        <v>45</v>
      </c>
      <c r="AL22" s="159">
        <v>50</v>
      </c>
      <c r="AM22" s="74">
        <f t="shared" si="10"/>
        <v>860</v>
      </c>
      <c r="AN22" s="41" t="s">
        <v>556</v>
      </c>
      <c r="AO22" s="42"/>
    </row>
    <row r="23" spans="1:41" s="117" customFormat="1" ht="100.5" customHeight="1" x14ac:dyDescent="0.4">
      <c r="A23" s="137">
        <v>16</v>
      </c>
      <c r="B23" s="125">
        <v>180090107017</v>
      </c>
      <c r="C23" s="70">
        <v>180000100243</v>
      </c>
      <c r="D23" s="103">
        <v>180517</v>
      </c>
      <c r="E23" s="144" t="s">
        <v>380</v>
      </c>
      <c r="F23" s="98" t="s">
        <v>381</v>
      </c>
      <c r="G23" s="100"/>
      <c r="H23" s="58">
        <v>65</v>
      </c>
      <c r="I23" s="58">
        <v>59</v>
      </c>
      <c r="J23" s="50">
        <f t="shared" si="0"/>
        <v>124</v>
      </c>
      <c r="K23" s="58">
        <v>53</v>
      </c>
      <c r="L23" s="58">
        <v>58</v>
      </c>
      <c r="M23" s="50">
        <f t="shared" si="1"/>
        <v>111</v>
      </c>
      <c r="N23" s="58">
        <v>53</v>
      </c>
      <c r="O23" s="58">
        <v>38</v>
      </c>
      <c r="P23" s="50">
        <f t="shared" si="2"/>
        <v>91</v>
      </c>
      <c r="Q23" s="58">
        <v>50</v>
      </c>
      <c r="R23" s="58">
        <v>47</v>
      </c>
      <c r="S23" s="50">
        <f t="shared" si="3"/>
        <v>97</v>
      </c>
      <c r="T23" s="58">
        <v>68</v>
      </c>
      <c r="U23" s="58">
        <v>57</v>
      </c>
      <c r="V23" s="50">
        <f t="shared" si="4"/>
        <v>125</v>
      </c>
      <c r="W23" s="59">
        <v>47</v>
      </c>
      <c r="X23" s="59">
        <v>29</v>
      </c>
      <c r="Y23" s="50">
        <f t="shared" si="5"/>
        <v>76</v>
      </c>
      <c r="Z23" s="58">
        <v>23</v>
      </c>
      <c r="AA23" s="58">
        <v>23</v>
      </c>
      <c r="AB23" s="50">
        <f t="shared" si="6"/>
        <v>46</v>
      </c>
      <c r="AC23" s="59">
        <v>24</v>
      </c>
      <c r="AD23" s="59">
        <v>24</v>
      </c>
      <c r="AE23" s="50">
        <f t="shared" si="7"/>
        <v>48</v>
      </c>
      <c r="AF23" s="58">
        <v>21</v>
      </c>
      <c r="AG23" s="59">
        <v>22</v>
      </c>
      <c r="AH23" s="50">
        <f t="shared" si="8"/>
        <v>43</v>
      </c>
      <c r="AI23" s="58">
        <v>23</v>
      </c>
      <c r="AJ23" s="58">
        <v>22</v>
      </c>
      <c r="AK23" s="50">
        <f t="shared" si="9"/>
        <v>45</v>
      </c>
      <c r="AL23" s="50">
        <v>47</v>
      </c>
      <c r="AM23" s="74">
        <f t="shared" si="10"/>
        <v>806</v>
      </c>
      <c r="AN23" s="41" t="s">
        <v>556</v>
      </c>
      <c r="AO23" s="42"/>
    </row>
    <row r="24" spans="1:41" s="117" customFormat="1" ht="100.5" customHeight="1" x14ac:dyDescent="0.4">
      <c r="A24" s="137">
        <v>17</v>
      </c>
      <c r="B24" s="125">
        <v>180090107018</v>
      </c>
      <c r="C24" s="70">
        <v>180000100244</v>
      </c>
      <c r="D24" s="103">
        <v>180518</v>
      </c>
      <c r="E24" s="145" t="s">
        <v>44</v>
      </c>
      <c r="F24" s="95" t="s">
        <v>382</v>
      </c>
      <c r="G24" s="100"/>
      <c r="H24" s="58">
        <v>75</v>
      </c>
      <c r="I24" s="58">
        <v>57</v>
      </c>
      <c r="J24" s="50">
        <f t="shared" si="0"/>
        <v>132</v>
      </c>
      <c r="K24" s="58">
        <v>75</v>
      </c>
      <c r="L24" s="58">
        <v>60</v>
      </c>
      <c r="M24" s="50">
        <f t="shared" si="1"/>
        <v>135</v>
      </c>
      <c r="N24" s="58">
        <v>58</v>
      </c>
      <c r="O24" s="58">
        <v>38</v>
      </c>
      <c r="P24" s="50">
        <f t="shared" si="2"/>
        <v>96</v>
      </c>
      <c r="Q24" s="58">
        <v>50</v>
      </c>
      <c r="R24" s="58">
        <v>49</v>
      </c>
      <c r="S24" s="50">
        <f t="shared" si="3"/>
        <v>99</v>
      </c>
      <c r="T24" s="58">
        <v>75</v>
      </c>
      <c r="U24" s="58">
        <v>57</v>
      </c>
      <c r="V24" s="50">
        <f t="shared" si="4"/>
        <v>132</v>
      </c>
      <c r="W24" s="59">
        <v>39</v>
      </c>
      <c r="X24" s="59">
        <v>35</v>
      </c>
      <c r="Y24" s="50">
        <f t="shared" si="5"/>
        <v>74</v>
      </c>
      <c r="Z24" s="58">
        <v>22</v>
      </c>
      <c r="AA24" s="58">
        <v>22</v>
      </c>
      <c r="AB24" s="50">
        <f t="shared" si="6"/>
        <v>44</v>
      </c>
      <c r="AC24" s="59">
        <v>24</v>
      </c>
      <c r="AD24" s="59">
        <v>23</v>
      </c>
      <c r="AE24" s="50">
        <f t="shared" si="7"/>
        <v>47</v>
      </c>
      <c r="AF24" s="58">
        <v>24</v>
      </c>
      <c r="AG24" s="59">
        <v>20</v>
      </c>
      <c r="AH24" s="50">
        <f t="shared" si="8"/>
        <v>44</v>
      </c>
      <c r="AI24" s="58">
        <v>23</v>
      </c>
      <c r="AJ24" s="58">
        <v>22</v>
      </c>
      <c r="AK24" s="50">
        <f t="shared" si="9"/>
        <v>45</v>
      </c>
      <c r="AL24" s="159">
        <v>47</v>
      </c>
      <c r="AM24" s="74">
        <f t="shared" si="10"/>
        <v>848</v>
      </c>
      <c r="AN24" s="41" t="s">
        <v>556</v>
      </c>
      <c r="AO24" s="42"/>
    </row>
    <row r="25" spans="1:41" s="117" customFormat="1" ht="100.5" customHeight="1" x14ac:dyDescent="0.4">
      <c r="A25" s="137">
        <v>18</v>
      </c>
      <c r="B25" s="125">
        <v>180090107019</v>
      </c>
      <c r="C25" s="70">
        <v>180000100245</v>
      </c>
      <c r="D25" s="103">
        <v>180519</v>
      </c>
      <c r="E25" s="145" t="s">
        <v>383</v>
      </c>
      <c r="F25" s="95" t="s">
        <v>384</v>
      </c>
      <c r="G25" s="100"/>
      <c r="H25" s="58">
        <v>67</v>
      </c>
      <c r="I25" s="58">
        <v>51</v>
      </c>
      <c r="J25" s="50">
        <f t="shared" si="0"/>
        <v>118</v>
      </c>
      <c r="K25" s="58">
        <v>74</v>
      </c>
      <c r="L25" s="58">
        <v>60</v>
      </c>
      <c r="M25" s="50">
        <f t="shared" si="1"/>
        <v>134</v>
      </c>
      <c r="N25" s="58">
        <v>56</v>
      </c>
      <c r="O25" s="58">
        <v>37</v>
      </c>
      <c r="P25" s="50">
        <f t="shared" si="2"/>
        <v>93</v>
      </c>
      <c r="Q25" s="58">
        <v>47</v>
      </c>
      <c r="R25" s="58">
        <v>45</v>
      </c>
      <c r="S25" s="50">
        <f t="shared" si="3"/>
        <v>92</v>
      </c>
      <c r="T25" s="58">
        <v>71</v>
      </c>
      <c r="U25" s="58">
        <v>51</v>
      </c>
      <c r="V25" s="50">
        <f t="shared" si="4"/>
        <v>122</v>
      </c>
      <c r="W25" s="59">
        <v>40</v>
      </c>
      <c r="X25" s="59">
        <v>31</v>
      </c>
      <c r="Y25" s="50">
        <f t="shared" si="5"/>
        <v>71</v>
      </c>
      <c r="Z25" s="58">
        <v>20</v>
      </c>
      <c r="AA25" s="58">
        <v>20</v>
      </c>
      <c r="AB25" s="50">
        <f t="shared" si="6"/>
        <v>40</v>
      </c>
      <c r="AC25" s="59">
        <v>23</v>
      </c>
      <c r="AD25" s="59">
        <v>23</v>
      </c>
      <c r="AE25" s="50">
        <f t="shared" si="7"/>
        <v>46</v>
      </c>
      <c r="AF25" s="58">
        <v>21</v>
      </c>
      <c r="AG25" s="59">
        <v>21</v>
      </c>
      <c r="AH25" s="50">
        <f t="shared" si="8"/>
        <v>42</v>
      </c>
      <c r="AI25" s="58">
        <v>18</v>
      </c>
      <c r="AJ25" s="58">
        <v>18</v>
      </c>
      <c r="AK25" s="50">
        <f t="shared" si="9"/>
        <v>36</v>
      </c>
      <c r="AL25" s="50">
        <v>47</v>
      </c>
      <c r="AM25" s="74">
        <f t="shared" si="10"/>
        <v>794</v>
      </c>
      <c r="AN25" s="41" t="s">
        <v>556</v>
      </c>
      <c r="AO25" s="42"/>
    </row>
    <row r="26" spans="1:41" s="117" customFormat="1" ht="100.5" customHeight="1" x14ac:dyDescent="0.4">
      <c r="A26" s="137">
        <v>19</v>
      </c>
      <c r="B26" s="125">
        <v>180090107020</v>
      </c>
      <c r="C26" s="70">
        <v>180000100246</v>
      </c>
      <c r="D26" s="103">
        <v>180520</v>
      </c>
      <c r="E26" s="145" t="s">
        <v>385</v>
      </c>
      <c r="F26" s="95" t="s">
        <v>196</v>
      </c>
      <c r="G26" s="100"/>
      <c r="H26" s="58">
        <v>67</v>
      </c>
      <c r="I26" s="58">
        <v>56</v>
      </c>
      <c r="J26" s="50">
        <f t="shared" si="0"/>
        <v>123</v>
      </c>
      <c r="K26" s="58">
        <v>80</v>
      </c>
      <c r="L26" s="58">
        <v>60</v>
      </c>
      <c r="M26" s="50">
        <f t="shared" si="1"/>
        <v>140</v>
      </c>
      <c r="N26" s="58">
        <v>60</v>
      </c>
      <c r="O26" s="58">
        <v>43</v>
      </c>
      <c r="P26" s="50">
        <f t="shared" si="2"/>
        <v>103</v>
      </c>
      <c r="Q26" s="58">
        <v>54</v>
      </c>
      <c r="R26" s="58">
        <v>45</v>
      </c>
      <c r="S26" s="50">
        <f t="shared" si="3"/>
        <v>99</v>
      </c>
      <c r="T26" s="58">
        <v>74</v>
      </c>
      <c r="U26" s="58">
        <v>56</v>
      </c>
      <c r="V26" s="50">
        <f t="shared" si="4"/>
        <v>130</v>
      </c>
      <c r="W26" s="59">
        <v>48</v>
      </c>
      <c r="X26" s="59">
        <v>31</v>
      </c>
      <c r="Y26" s="50">
        <f t="shared" si="5"/>
        <v>79</v>
      </c>
      <c r="Z26" s="58">
        <v>21</v>
      </c>
      <c r="AA26" s="58">
        <v>21</v>
      </c>
      <c r="AB26" s="50">
        <f t="shared" si="6"/>
        <v>42</v>
      </c>
      <c r="AC26" s="59">
        <v>24</v>
      </c>
      <c r="AD26" s="59">
        <v>24</v>
      </c>
      <c r="AE26" s="50">
        <f t="shared" si="7"/>
        <v>48</v>
      </c>
      <c r="AF26" s="58">
        <v>24</v>
      </c>
      <c r="AG26" s="59">
        <v>25</v>
      </c>
      <c r="AH26" s="50">
        <f t="shared" si="8"/>
        <v>49</v>
      </c>
      <c r="AI26" s="58">
        <v>23</v>
      </c>
      <c r="AJ26" s="58">
        <v>22</v>
      </c>
      <c r="AK26" s="50">
        <f t="shared" si="9"/>
        <v>45</v>
      </c>
      <c r="AL26" s="50">
        <v>44</v>
      </c>
      <c r="AM26" s="74">
        <f t="shared" si="10"/>
        <v>858</v>
      </c>
      <c r="AN26" s="41" t="s">
        <v>556</v>
      </c>
      <c r="AO26" s="42"/>
    </row>
    <row r="27" spans="1:41" s="117" customFormat="1" ht="100.5" customHeight="1" x14ac:dyDescent="0.4">
      <c r="A27" s="137">
        <v>20</v>
      </c>
      <c r="B27" s="125">
        <v>180090107021</v>
      </c>
      <c r="C27" s="70">
        <v>180000100247</v>
      </c>
      <c r="D27" s="103">
        <v>180521</v>
      </c>
      <c r="E27" s="145" t="s">
        <v>386</v>
      </c>
      <c r="F27" s="95" t="s">
        <v>387</v>
      </c>
      <c r="G27" s="100"/>
      <c r="H27" s="58">
        <v>67</v>
      </c>
      <c r="I27" s="58">
        <v>57</v>
      </c>
      <c r="J27" s="50">
        <f t="shared" si="0"/>
        <v>124</v>
      </c>
      <c r="K27" s="58">
        <v>81</v>
      </c>
      <c r="L27" s="58">
        <v>60</v>
      </c>
      <c r="M27" s="50">
        <f t="shared" si="1"/>
        <v>141</v>
      </c>
      <c r="N27" s="58">
        <v>59</v>
      </c>
      <c r="O27" s="58">
        <v>42</v>
      </c>
      <c r="P27" s="50">
        <f t="shared" si="2"/>
        <v>101</v>
      </c>
      <c r="Q27" s="58">
        <v>65</v>
      </c>
      <c r="R27" s="58">
        <v>51</v>
      </c>
      <c r="S27" s="50">
        <f t="shared" si="3"/>
        <v>116</v>
      </c>
      <c r="T27" s="58">
        <v>74</v>
      </c>
      <c r="U27" s="58">
        <v>57</v>
      </c>
      <c r="V27" s="50">
        <f t="shared" si="4"/>
        <v>131</v>
      </c>
      <c r="W27" s="59">
        <v>50</v>
      </c>
      <c r="X27" s="59">
        <v>33</v>
      </c>
      <c r="Y27" s="50">
        <f t="shared" si="5"/>
        <v>83</v>
      </c>
      <c r="Z27" s="58">
        <v>23</v>
      </c>
      <c r="AA27" s="58">
        <v>23</v>
      </c>
      <c r="AB27" s="50">
        <f t="shared" si="6"/>
        <v>46</v>
      </c>
      <c r="AC27" s="59">
        <v>20</v>
      </c>
      <c r="AD27" s="59">
        <v>20</v>
      </c>
      <c r="AE27" s="50">
        <f t="shared" si="7"/>
        <v>40</v>
      </c>
      <c r="AF27" s="58">
        <v>24</v>
      </c>
      <c r="AG27" s="59">
        <v>24</v>
      </c>
      <c r="AH27" s="50">
        <f t="shared" si="8"/>
        <v>48</v>
      </c>
      <c r="AI27" s="58">
        <v>23</v>
      </c>
      <c r="AJ27" s="58">
        <v>22</v>
      </c>
      <c r="AK27" s="50">
        <f t="shared" si="9"/>
        <v>45</v>
      </c>
      <c r="AL27" s="159">
        <v>50</v>
      </c>
      <c r="AM27" s="74">
        <f t="shared" si="10"/>
        <v>875</v>
      </c>
      <c r="AN27" s="41" t="s">
        <v>556</v>
      </c>
      <c r="AO27" s="42"/>
    </row>
    <row r="28" spans="1:41" s="117" customFormat="1" ht="100.5" customHeight="1" x14ac:dyDescent="0.4">
      <c r="A28" s="137">
        <v>21</v>
      </c>
      <c r="B28" s="125">
        <v>180090107022</v>
      </c>
      <c r="C28" s="70">
        <v>180000100248</v>
      </c>
      <c r="D28" s="103">
        <v>180522</v>
      </c>
      <c r="E28" s="145" t="s">
        <v>388</v>
      </c>
      <c r="F28" s="95" t="s">
        <v>389</v>
      </c>
      <c r="G28" s="100"/>
      <c r="H28" s="58">
        <v>65</v>
      </c>
      <c r="I28" s="58">
        <v>57</v>
      </c>
      <c r="J28" s="50">
        <f t="shared" si="0"/>
        <v>122</v>
      </c>
      <c r="K28" s="58">
        <v>72</v>
      </c>
      <c r="L28" s="58">
        <v>60</v>
      </c>
      <c r="M28" s="50">
        <f t="shared" si="1"/>
        <v>132</v>
      </c>
      <c r="N28" s="58">
        <v>57</v>
      </c>
      <c r="O28" s="58">
        <v>41</v>
      </c>
      <c r="P28" s="50">
        <f t="shared" si="2"/>
        <v>98</v>
      </c>
      <c r="Q28" s="58">
        <v>59</v>
      </c>
      <c r="R28" s="58">
        <v>48</v>
      </c>
      <c r="S28" s="50">
        <f t="shared" si="3"/>
        <v>107</v>
      </c>
      <c r="T28" s="58">
        <v>77</v>
      </c>
      <c r="U28" s="58">
        <v>57</v>
      </c>
      <c r="V28" s="50">
        <f t="shared" si="4"/>
        <v>134</v>
      </c>
      <c r="W28" s="59">
        <v>50</v>
      </c>
      <c r="X28" s="59">
        <v>27</v>
      </c>
      <c r="Y28" s="50">
        <f t="shared" si="5"/>
        <v>77</v>
      </c>
      <c r="Z28" s="58">
        <v>24</v>
      </c>
      <c r="AA28" s="58">
        <v>23</v>
      </c>
      <c r="AB28" s="50">
        <f t="shared" si="6"/>
        <v>47</v>
      </c>
      <c r="AC28" s="59">
        <v>23</v>
      </c>
      <c r="AD28" s="59">
        <v>23</v>
      </c>
      <c r="AE28" s="50">
        <f t="shared" si="7"/>
        <v>46</v>
      </c>
      <c r="AF28" s="58">
        <v>24</v>
      </c>
      <c r="AG28" s="59">
        <v>23</v>
      </c>
      <c r="AH28" s="50">
        <f t="shared" si="8"/>
        <v>47</v>
      </c>
      <c r="AI28" s="58">
        <v>22</v>
      </c>
      <c r="AJ28" s="58">
        <v>21</v>
      </c>
      <c r="AK28" s="50">
        <f t="shared" si="9"/>
        <v>43</v>
      </c>
      <c r="AL28" s="50">
        <v>45</v>
      </c>
      <c r="AM28" s="74">
        <f t="shared" si="10"/>
        <v>853</v>
      </c>
      <c r="AN28" s="41" t="s">
        <v>556</v>
      </c>
      <c r="AO28" s="42"/>
    </row>
    <row r="29" spans="1:41" s="117" customFormat="1" ht="100.5" customHeight="1" x14ac:dyDescent="0.4">
      <c r="A29" s="137">
        <v>22</v>
      </c>
      <c r="B29" s="125">
        <v>180090107023</v>
      </c>
      <c r="C29" s="70">
        <v>180000100249</v>
      </c>
      <c r="D29" s="103">
        <v>180523</v>
      </c>
      <c r="E29" s="145" t="s">
        <v>390</v>
      </c>
      <c r="F29" s="95" t="s">
        <v>391</v>
      </c>
      <c r="G29" s="100"/>
      <c r="H29" s="58">
        <v>62</v>
      </c>
      <c r="I29" s="58">
        <v>57</v>
      </c>
      <c r="J29" s="50">
        <f t="shared" si="0"/>
        <v>119</v>
      </c>
      <c r="K29" s="58">
        <v>71</v>
      </c>
      <c r="L29" s="58">
        <v>10</v>
      </c>
      <c r="M29" s="50">
        <f t="shared" si="1"/>
        <v>81</v>
      </c>
      <c r="N29" s="58">
        <v>58</v>
      </c>
      <c r="O29" s="58">
        <v>37</v>
      </c>
      <c r="P29" s="50">
        <f t="shared" si="2"/>
        <v>95</v>
      </c>
      <c r="Q29" s="58">
        <v>53</v>
      </c>
      <c r="R29" s="58">
        <v>27</v>
      </c>
      <c r="S29" s="50">
        <f t="shared" si="3"/>
        <v>80</v>
      </c>
      <c r="T29" s="58">
        <v>69</v>
      </c>
      <c r="U29" s="58">
        <v>57</v>
      </c>
      <c r="V29" s="50">
        <f t="shared" si="4"/>
        <v>126</v>
      </c>
      <c r="W29" s="59">
        <v>47</v>
      </c>
      <c r="X29" s="59">
        <v>8</v>
      </c>
      <c r="Y29" s="50">
        <f t="shared" si="5"/>
        <v>55</v>
      </c>
      <c r="Z29" s="58">
        <v>20</v>
      </c>
      <c r="AA29" s="58">
        <v>23</v>
      </c>
      <c r="AB29" s="50">
        <f t="shared" si="6"/>
        <v>43</v>
      </c>
      <c r="AC29" s="59">
        <v>19</v>
      </c>
      <c r="AD29" s="59">
        <v>19</v>
      </c>
      <c r="AE29" s="50">
        <f t="shared" si="7"/>
        <v>38</v>
      </c>
      <c r="AF29" s="58">
        <v>23</v>
      </c>
      <c r="AG29" s="59">
        <v>20</v>
      </c>
      <c r="AH29" s="50">
        <f t="shared" si="8"/>
        <v>43</v>
      </c>
      <c r="AI29" s="58">
        <v>22</v>
      </c>
      <c r="AJ29" s="58">
        <v>15</v>
      </c>
      <c r="AK29" s="50">
        <f t="shared" si="9"/>
        <v>37</v>
      </c>
      <c r="AL29" s="50">
        <v>45</v>
      </c>
      <c r="AM29" s="74">
        <f t="shared" si="10"/>
        <v>717</v>
      </c>
      <c r="AN29" s="41" t="s">
        <v>556</v>
      </c>
      <c r="AO29" s="42"/>
    </row>
    <row r="30" spans="1:41" s="117" customFormat="1" ht="100.5" customHeight="1" x14ac:dyDescent="0.4">
      <c r="A30" s="137">
        <v>23</v>
      </c>
      <c r="B30" s="125">
        <v>180090107024</v>
      </c>
      <c r="C30" s="70">
        <v>180000100250</v>
      </c>
      <c r="D30" s="103">
        <v>180524</v>
      </c>
      <c r="E30" s="145" t="s">
        <v>392</v>
      </c>
      <c r="F30" s="95" t="s">
        <v>393</v>
      </c>
      <c r="G30" s="100"/>
      <c r="H30" s="58">
        <v>62</v>
      </c>
      <c r="I30" s="58">
        <v>57</v>
      </c>
      <c r="J30" s="50">
        <f t="shared" si="0"/>
        <v>119</v>
      </c>
      <c r="K30" s="58">
        <v>84</v>
      </c>
      <c r="L30" s="58">
        <v>56</v>
      </c>
      <c r="M30" s="50">
        <f t="shared" si="1"/>
        <v>140</v>
      </c>
      <c r="N30" s="58">
        <v>58</v>
      </c>
      <c r="O30" s="58">
        <v>40</v>
      </c>
      <c r="P30" s="50">
        <f t="shared" si="2"/>
        <v>98</v>
      </c>
      <c r="Q30" s="58">
        <v>66</v>
      </c>
      <c r="R30" s="58">
        <v>47</v>
      </c>
      <c r="S30" s="50">
        <f t="shared" si="3"/>
        <v>113</v>
      </c>
      <c r="T30" s="58">
        <v>73</v>
      </c>
      <c r="U30" s="58">
        <v>57</v>
      </c>
      <c r="V30" s="50">
        <f t="shared" si="4"/>
        <v>130</v>
      </c>
      <c r="W30" s="59">
        <v>48</v>
      </c>
      <c r="X30" s="59">
        <v>35</v>
      </c>
      <c r="Y30" s="50">
        <f t="shared" si="5"/>
        <v>83</v>
      </c>
      <c r="Z30" s="58">
        <v>24</v>
      </c>
      <c r="AA30" s="58">
        <v>24</v>
      </c>
      <c r="AB30" s="50">
        <f t="shared" si="6"/>
        <v>48</v>
      </c>
      <c r="AC30" s="59">
        <v>21</v>
      </c>
      <c r="AD30" s="59">
        <v>21</v>
      </c>
      <c r="AE30" s="50">
        <f t="shared" si="7"/>
        <v>42</v>
      </c>
      <c r="AF30" s="58">
        <v>24</v>
      </c>
      <c r="AG30" s="59">
        <v>25</v>
      </c>
      <c r="AH30" s="50">
        <f t="shared" si="8"/>
        <v>49</v>
      </c>
      <c r="AI30" s="58">
        <v>23</v>
      </c>
      <c r="AJ30" s="58">
        <v>22</v>
      </c>
      <c r="AK30" s="50">
        <f t="shared" si="9"/>
        <v>45</v>
      </c>
      <c r="AL30" s="159">
        <v>50</v>
      </c>
      <c r="AM30" s="74">
        <f t="shared" si="10"/>
        <v>867</v>
      </c>
      <c r="AN30" s="41" t="s">
        <v>556</v>
      </c>
      <c r="AO30" s="42"/>
    </row>
    <row r="31" spans="1:41" s="117" customFormat="1" ht="100.5" customHeight="1" x14ac:dyDescent="0.4">
      <c r="A31" s="137">
        <v>24</v>
      </c>
      <c r="B31" s="125">
        <v>180090107025</v>
      </c>
      <c r="C31" s="70">
        <v>180000100251</v>
      </c>
      <c r="D31" s="103">
        <v>180525</v>
      </c>
      <c r="E31" s="145" t="s">
        <v>394</v>
      </c>
      <c r="F31" s="95" t="s">
        <v>395</v>
      </c>
      <c r="G31" s="100"/>
      <c r="H31" s="58">
        <v>59</v>
      </c>
      <c r="I31" s="58">
        <v>53</v>
      </c>
      <c r="J31" s="50">
        <f t="shared" si="0"/>
        <v>112</v>
      </c>
      <c r="K31" s="58">
        <v>68</v>
      </c>
      <c r="L31" s="58">
        <v>60</v>
      </c>
      <c r="M31" s="50">
        <f t="shared" si="1"/>
        <v>128</v>
      </c>
      <c r="N31" s="58">
        <v>56</v>
      </c>
      <c r="O31" s="58">
        <v>41</v>
      </c>
      <c r="P31" s="50">
        <f t="shared" si="2"/>
        <v>97</v>
      </c>
      <c r="Q31" s="58">
        <v>48</v>
      </c>
      <c r="R31" s="58">
        <v>45</v>
      </c>
      <c r="S31" s="50">
        <f t="shared" si="3"/>
        <v>93</v>
      </c>
      <c r="T31" s="58">
        <v>71</v>
      </c>
      <c r="U31" s="58">
        <v>53</v>
      </c>
      <c r="V31" s="50">
        <f t="shared" si="4"/>
        <v>124</v>
      </c>
      <c r="W31" s="59">
        <v>39</v>
      </c>
      <c r="X31" s="59">
        <v>27</v>
      </c>
      <c r="Y31" s="50">
        <f t="shared" si="5"/>
        <v>66</v>
      </c>
      <c r="Z31" s="58">
        <v>24</v>
      </c>
      <c r="AA31" s="58">
        <v>24</v>
      </c>
      <c r="AB31" s="50">
        <f t="shared" si="6"/>
        <v>48</v>
      </c>
      <c r="AC31" s="59">
        <v>21</v>
      </c>
      <c r="AD31" s="59">
        <v>22</v>
      </c>
      <c r="AE31" s="50">
        <f t="shared" si="7"/>
        <v>43</v>
      </c>
      <c r="AF31" s="58">
        <v>21</v>
      </c>
      <c r="AG31" s="59">
        <v>18</v>
      </c>
      <c r="AH31" s="50">
        <f t="shared" si="8"/>
        <v>39</v>
      </c>
      <c r="AI31" s="58">
        <v>23</v>
      </c>
      <c r="AJ31" s="58">
        <v>22</v>
      </c>
      <c r="AK31" s="50">
        <f t="shared" si="9"/>
        <v>45</v>
      </c>
      <c r="AL31" s="50">
        <v>44</v>
      </c>
      <c r="AM31" s="74">
        <f t="shared" si="10"/>
        <v>795</v>
      </c>
      <c r="AN31" s="41" t="s">
        <v>556</v>
      </c>
      <c r="AO31" s="42"/>
    </row>
    <row r="32" spans="1:41" s="117" customFormat="1" ht="100.5" customHeight="1" x14ac:dyDescent="0.4">
      <c r="A32" s="137">
        <v>25</v>
      </c>
      <c r="B32" s="125">
        <v>180090107026</v>
      </c>
      <c r="C32" s="70">
        <v>180000100252</v>
      </c>
      <c r="D32" s="103">
        <v>180526</v>
      </c>
      <c r="E32" s="144" t="s">
        <v>396</v>
      </c>
      <c r="F32" s="98" t="s">
        <v>397</v>
      </c>
      <c r="G32" s="100"/>
      <c r="H32" s="58">
        <v>43</v>
      </c>
      <c r="I32" s="58">
        <v>45</v>
      </c>
      <c r="J32" s="50">
        <f t="shared" si="0"/>
        <v>88</v>
      </c>
      <c r="K32" s="58">
        <v>68</v>
      </c>
      <c r="L32" s="58">
        <v>25</v>
      </c>
      <c r="M32" s="50">
        <f t="shared" si="1"/>
        <v>93</v>
      </c>
      <c r="N32" s="58">
        <v>51</v>
      </c>
      <c r="O32" s="58">
        <v>39</v>
      </c>
      <c r="P32" s="50">
        <f t="shared" si="2"/>
        <v>90</v>
      </c>
      <c r="Q32" s="58">
        <v>53</v>
      </c>
      <c r="R32" s="58">
        <v>47</v>
      </c>
      <c r="S32" s="50">
        <f t="shared" si="3"/>
        <v>100</v>
      </c>
      <c r="T32" s="58">
        <v>75</v>
      </c>
      <c r="U32" s="58">
        <v>45</v>
      </c>
      <c r="V32" s="50">
        <f t="shared" si="4"/>
        <v>120</v>
      </c>
      <c r="W32" s="59">
        <v>36</v>
      </c>
      <c r="X32" s="59">
        <v>21</v>
      </c>
      <c r="Y32" s="50">
        <f t="shared" si="5"/>
        <v>57</v>
      </c>
      <c r="Z32" s="58">
        <v>23</v>
      </c>
      <c r="AA32" s="58">
        <v>23</v>
      </c>
      <c r="AB32" s="50">
        <f t="shared" si="6"/>
        <v>46</v>
      </c>
      <c r="AC32" s="59">
        <v>15</v>
      </c>
      <c r="AD32" s="59">
        <v>15</v>
      </c>
      <c r="AE32" s="50">
        <f t="shared" si="7"/>
        <v>30</v>
      </c>
      <c r="AF32" s="58">
        <v>22</v>
      </c>
      <c r="AG32" s="59">
        <v>20</v>
      </c>
      <c r="AH32" s="50">
        <f t="shared" si="8"/>
        <v>42</v>
      </c>
      <c r="AI32" s="58">
        <v>20</v>
      </c>
      <c r="AJ32" s="58">
        <v>20</v>
      </c>
      <c r="AK32" s="50">
        <f t="shared" si="9"/>
        <v>40</v>
      </c>
      <c r="AL32" s="50">
        <v>46</v>
      </c>
      <c r="AM32" s="74">
        <f t="shared" si="10"/>
        <v>706</v>
      </c>
      <c r="AN32" s="41" t="s">
        <v>556</v>
      </c>
      <c r="AO32" s="42"/>
    </row>
    <row r="33" spans="1:41" s="117" customFormat="1" ht="100.5" customHeight="1" x14ac:dyDescent="0.4">
      <c r="A33" s="137">
        <v>26</v>
      </c>
      <c r="B33" s="125">
        <v>180090107027</v>
      </c>
      <c r="C33" s="70">
        <v>180000100253</v>
      </c>
      <c r="D33" s="103">
        <v>180527</v>
      </c>
      <c r="E33" s="145" t="s">
        <v>398</v>
      </c>
      <c r="F33" s="95" t="s">
        <v>399</v>
      </c>
      <c r="G33" s="100"/>
      <c r="H33" s="58">
        <v>64</v>
      </c>
      <c r="I33" s="58">
        <v>41</v>
      </c>
      <c r="J33" s="50">
        <f t="shared" si="0"/>
        <v>105</v>
      </c>
      <c r="K33" s="58">
        <v>72</v>
      </c>
      <c r="L33" s="58">
        <v>45</v>
      </c>
      <c r="M33" s="50">
        <f t="shared" si="1"/>
        <v>117</v>
      </c>
      <c r="N33" s="58">
        <v>52</v>
      </c>
      <c r="O33" s="58">
        <v>38</v>
      </c>
      <c r="P33" s="50">
        <f t="shared" si="2"/>
        <v>90</v>
      </c>
      <c r="Q33" s="58">
        <v>54</v>
      </c>
      <c r="R33" s="58">
        <v>45</v>
      </c>
      <c r="S33" s="50">
        <f t="shared" si="3"/>
        <v>99</v>
      </c>
      <c r="T33" s="58">
        <v>75</v>
      </c>
      <c r="U33" s="58">
        <v>41</v>
      </c>
      <c r="V33" s="50">
        <f t="shared" si="4"/>
        <v>116</v>
      </c>
      <c r="W33" s="59">
        <v>43</v>
      </c>
      <c r="X33" s="59">
        <v>19</v>
      </c>
      <c r="Y33" s="50">
        <f t="shared" si="5"/>
        <v>62</v>
      </c>
      <c r="Z33" s="58">
        <v>24</v>
      </c>
      <c r="AA33" s="58">
        <v>24</v>
      </c>
      <c r="AB33" s="50">
        <f t="shared" si="6"/>
        <v>48</v>
      </c>
      <c r="AC33" s="59">
        <v>15</v>
      </c>
      <c r="AD33" s="59">
        <v>15</v>
      </c>
      <c r="AE33" s="50">
        <f t="shared" si="7"/>
        <v>30</v>
      </c>
      <c r="AF33" s="58">
        <v>24</v>
      </c>
      <c r="AG33" s="59">
        <v>20</v>
      </c>
      <c r="AH33" s="50">
        <f t="shared" si="8"/>
        <v>44</v>
      </c>
      <c r="AI33" s="58">
        <v>15</v>
      </c>
      <c r="AJ33" s="58">
        <v>15</v>
      </c>
      <c r="AK33" s="50">
        <f t="shared" si="9"/>
        <v>30</v>
      </c>
      <c r="AL33" s="159">
        <v>46</v>
      </c>
      <c r="AM33" s="74">
        <f t="shared" si="10"/>
        <v>741</v>
      </c>
      <c r="AN33" s="41" t="s">
        <v>556</v>
      </c>
      <c r="AO33" s="119"/>
    </row>
    <row r="34" spans="1:41" s="117" customFormat="1" ht="100.5" customHeight="1" x14ac:dyDescent="0.4">
      <c r="A34" s="137">
        <v>27</v>
      </c>
      <c r="B34" s="125">
        <v>180090107028</v>
      </c>
      <c r="C34" s="70">
        <v>180000100254</v>
      </c>
      <c r="D34" s="103">
        <v>180528</v>
      </c>
      <c r="E34" s="145" t="s">
        <v>400</v>
      </c>
      <c r="F34" s="95" t="s">
        <v>401</v>
      </c>
      <c r="G34" s="100"/>
      <c r="H34" s="58">
        <v>59</v>
      </c>
      <c r="I34" s="58">
        <v>54</v>
      </c>
      <c r="J34" s="50">
        <f t="shared" si="0"/>
        <v>113</v>
      </c>
      <c r="K34" s="58">
        <v>53</v>
      </c>
      <c r="L34" s="58">
        <v>48</v>
      </c>
      <c r="M34" s="50">
        <f t="shared" si="1"/>
        <v>101</v>
      </c>
      <c r="N34" s="58">
        <v>38</v>
      </c>
      <c r="O34" s="58">
        <v>37</v>
      </c>
      <c r="P34" s="50">
        <f t="shared" si="2"/>
        <v>75</v>
      </c>
      <c r="Q34" s="58">
        <v>51</v>
      </c>
      <c r="R34" s="58">
        <v>28</v>
      </c>
      <c r="S34" s="50">
        <f t="shared" si="3"/>
        <v>79</v>
      </c>
      <c r="T34" s="58">
        <v>75</v>
      </c>
      <c r="U34" s="58">
        <v>54</v>
      </c>
      <c r="V34" s="50">
        <f t="shared" si="4"/>
        <v>129</v>
      </c>
      <c r="W34" s="59">
        <v>29</v>
      </c>
      <c r="X34" s="59">
        <v>26</v>
      </c>
      <c r="Y34" s="50">
        <f t="shared" si="5"/>
        <v>55</v>
      </c>
      <c r="Z34" s="58">
        <v>21</v>
      </c>
      <c r="AA34" s="58">
        <v>23</v>
      </c>
      <c r="AB34" s="50">
        <f t="shared" si="6"/>
        <v>44</v>
      </c>
      <c r="AC34" s="59">
        <v>15</v>
      </c>
      <c r="AD34" s="59">
        <v>15</v>
      </c>
      <c r="AE34" s="50">
        <f t="shared" si="7"/>
        <v>30</v>
      </c>
      <c r="AF34" s="58">
        <v>19</v>
      </c>
      <c r="AG34" s="59">
        <v>18</v>
      </c>
      <c r="AH34" s="50">
        <f t="shared" si="8"/>
        <v>37</v>
      </c>
      <c r="AI34" s="58">
        <v>15</v>
      </c>
      <c r="AJ34" s="58">
        <v>15</v>
      </c>
      <c r="AK34" s="50">
        <f t="shared" si="9"/>
        <v>30</v>
      </c>
      <c r="AL34" s="50">
        <v>50</v>
      </c>
      <c r="AM34" s="74">
        <f t="shared" si="10"/>
        <v>693</v>
      </c>
      <c r="AN34" s="41" t="s">
        <v>556</v>
      </c>
      <c r="AO34" s="42"/>
    </row>
    <row r="35" spans="1:41" s="117" customFormat="1" ht="100.5" customHeight="1" x14ac:dyDescent="0.4">
      <c r="A35" s="137">
        <v>28</v>
      </c>
      <c r="B35" s="125">
        <v>180090107029</v>
      </c>
      <c r="C35" s="70">
        <v>180000100255</v>
      </c>
      <c r="D35" s="103">
        <v>180529</v>
      </c>
      <c r="E35" s="145" t="s">
        <v>402</v>
      </c>
      <c r="F35" s="95" t="s">
        <v>403</v>
      </c>
      <c r="G35" s="100"/>
      <c r="H35" s="58">
        <v>62</v>
      </c>
      <c r="I35" s="58">
        <v>56</v>
      </c>
      <c r="J35" s="50">
        <f t="shared" si="0"/>
        <v>118</v>
      </c>
      <c r="K35" s="58">
        <v>86</v>
      </c>
      <c r="L35" s="58">
        <v>60</v>
      </c>
      <c r="M35" s="50">
        <f t="shared" si="1"/>
        <v>146</v>
      </c>
      <c r="N35" s="58">
        <v>60</v>
      </c>
      <c r="O35" s="58">
        <v>39</v>
      </c>
      <c r="P35" s="50">
        <f t="shared" si="2"/>
        <v>99</v>
      </c>
      <c r="Q35" s="58">
        <v>56</v>
      </c>
      <c r="R35" s="58">
        <v>52</v>
      </c>
      <c r="S35" s="50">
        <f t="shared" si="3"/>
        <v>108</v>
      </c>
      <c r="T35" s="58">
        <v>75</v>
      </c>
      <c r="U35" s="58">
        <v>56</v>
      </c>
      <c r="V35" s="50">
        <f t="shared" si="4"/>
        <v>131</v>
      </c>
      <c r="W35" s="59">
        <v>48</v>
      </c>
      <c r="X35" s="59">
        <v>33</v>
      </c>
      <c r="Y35" s="50">
        <f t="shared" si="5"/>
        <v>81</v>
      </c>
      <c r="Z35" s="58">
        <v>24</v>
      </c>
      <c r="AA35" s="58">
        <v>23</v>
      </c>
      <c r="AB35" s="50">
        <f t="shared" si="6"/>
        <v>47</v>
      </c>
      <c r="AC35" s="59">
        <v>21</v>
      </c>
      <c r="AD35" s="59">
        <v>21</v>
      </c>
      <c r="AE35" s="50">
        <f t="shared" si="7"/>
        <v>42</v>
      </c>
      <c r="AF35" s="58">
        <v>24</v>
      </c>
      <c r="AG35" s="59">
        <v>20</v>
      </c>
      <c r="AH35" s="50">
        <f t="shared" si="8"/>
        <v>44</v>
      </c>
      <c r="AI35" s="58">
        <v>23</v>
      </c>
      <c r="AJ35" s="58">
        <v>22</v>
      </c>
      <c r="AK35" s="50">
        <f t="shared" si="9"/>
        <v>45</v>
      </c>
      <c r="AL35" s="50">
        <v>50</v>
      </c>
      <c r="AM35" s="74">
        <f t="shared" si="10"/>
        <v>861</v>
      </c>
      <c r="AN35" s="41" t="s">
        <v>556</v>
      </c>
      <c r="AO35" s="42"/>
    </row>
    <row r="36" spans="1:41" s="117" customFormat="1" ht="100.5" customHeight="1" x14ac:dyDescent="0.4">
      <c r="A36" s="137">
        <v>29</v>
      </c>
      <c r="B36" s="125">
        <v>180090107030</v>
      </c>
      <c r="C36" s="70">
        <v>180000100256</v>
      </c>
      <c r="D36" s="103">
        <v>180530</v>
      </c>
      <c r="E36" s="145" t="s">
        <v>404</v>
      </c>
      <c r="F36" s="95" t="s">
        <v>405</v>
      </c>
      <c r="G36" s="100"/>
      <c r="H36" s="58">
        <v>65</v>
      </c>
      <c r="I36" s="58">
        <v>56</v>
      </c>
      <c r="J36" s="50">
        <f t="shared" si="0"/>
        <v>121</v>
      </c>
      <c r="K36" s="58">
        <v>65</v>
      </c>
      <c r="L36" s="58">
        <v>55</v>
      </c>
      <c r="M36" s="50">
        <f t="shared" si="1"/>
        <v>120</v>
      </c>
      <c r="N36" s="58">
        <v>55</v>
      </c>
      <c r="O36" s="58">
        <v>41</v>
      </c>
      <c r="P36" s="50">
        <f t="shared" si="2"/>
        <v>96</v>
      </c>
      <c r="Q36" s="58">
        <v>42</v>
      </c>
      <c r="R36" s="58">
        <v>45</v>
      </c>
      <c r="S36" s="50">
        <f t="shared" si="3"/>
        <v>87</v>
      </c>
      <c r="T36" s="58">
        <v>76</v>
      </c>
      <c r="U36" s="58">
        <v>56</v>
      </c>
      <c r="V36" s="50">
        <f t="shared" si="4"/>
        <v>132</v>
      </c>
      <c r="W36" s="59">
        <v>41</v>
      </c>
      <c r="X36" s="59">
        <v>33</v>
      </c>
      <c r="Y36" s="50">
        <f t="shared" si="5"/>
        <v>74</v>
      </c>
      <c r="Z36" s="58">
        <v>20</v>
      </c>
      <c r="AA36" s="58">
        <v>23</v>
      </c>
      <c r="AB36" s="50">
        <f t="shared" si="6"/>
        <v>43</v>
      </c>
      <c r="AC36" s="59">
        <v>20</v>
      </c>
      <c r="AD36" s="59">
        <v>21</v>
      </c>
      <c r="AE36" s="50">
        <f t="shared" si="7"/>
        <v>41</v>
      </c>
      <c r="AF36" s="58">
        <v>23</v>
      </c>
      <c r="AG36" s="59">
        <v>20</v>
      </c>
      <c r="AH36" s="50">
        <f t="shared" si="8"/>
        <v>43</v>
      </c>
      <c r="AI36" s="58">
        <v>20</v>
      </c>
      <c r="AJ36" s="58">
        <v>20</v>
      </c>
      <c r="AK36" s="50">
        <f t="shared" si="9"/>
        <v>40</v>
      </c>
      <c r="AL36" s="159">
        <v>44</v>
      </c>
      <c r="AM36" s="74">
        <f t="shared" si="10"/>
        <v>797</v>
      </c>
      <c r="AN36" s="41" t="s">
        <v>556</v>
      </c>
      <c r="AO36" s="119"/>
    </row>
    <row r="37" spans="1:41" s="117" customFormat="1" ht="100.5" customHeight="1" x14ac:dyDescent="0.4">
      <c r="A37" s="137">
        <v>30</v>
      </c>
      <c r="B37" s="125">
        <v>180090107031</v>
      </c>
      <c r="C37" s="70">
        <v>180000100257</v>
      </c>
      <c r="D37" s="103">
        <v>180531</v>
      </c>
      <c r="E37" s="145" t="s">
        <v>406</v>
      </c>
      <c r="F37" s="95" t="s">
        <v>407</v>
      </c>
      <c r="G37" s="100"/>
      <c r="H37" s="58">
        <v>64</v>
      </c>
      <c r="I37" s="58">
        <v>59</v>
      </c>
      <c r="J37" s="50">
        <f t="shared" si="0"/>
        <v>123</v>
      </c>
      <c r="K37" s="58">
        <v>78</v>
      </c>
      <c r="L37" s="58">
        <v>60</v>
      </c>
      <c r="M37" s="50">
        <f t="shared" si="1"/>
        <v>138</v>
      </c>
      <c r="N37" s="58">
        <v>60</v>
      </c>
      <c r="O37" s="58">
        <v>44</v>
      </c>
      <c r="P37" s="50">
        <f t="shared" si="2"/>
        <v>104</v>
      </c>
      <c r="Q37" s="58">
        <v>59</v>
      </c>
      <c r="R37" s="58">
        <v>47</v>
      </c>
      <c r="S37" s="50">
        <f t="shared" si="3"/>
        <v>106</v>
      </c>
      <c r="T37" s="58">
        <v>63</v>
      </c>
      <c r="U37" s="58">
        <v>58</v>
      </c>
      <c r="V37" s="50">
        <f t="shared" si="4"/>
        <v>121</v>
      </c>
      <c r="W37" s="59">
        <v>48</v>
      </c>
      <c r="X37" s="59">
        <v>31</v>
      </c>
      <c r="Y37" s="50">
        <f t="shared" si="5"/>
        <v>79</v>
      </c>
      <c r="Z37" s="58">
        <v>23</v>
      </c>
      <c r="AA37" s="58">
        <v>23</v>
      </c>
      <c r="AB37" s="50">
        <f t="shared" si="6"/>
        <v>46</v>
      </c>
      <c r="AC37" s="59">
        <v>22</v>
      </c>
      <c r="AD37" s="59">
        <v>22</v>
      </c>
      <c r="AE37" s="50">
        <f t="shared" si="7"/>
        <v>44</v>
      </c>
      <c r="AF37" s="58">
        <v>24</v>
      </c>
      <c r="AG37" s="59">
        <v>23</v>
      </c>
      <c r="AH37" s="50">
        <f t="shared" si="8"/>
        <v>47</v>
      </c>
      <c r="AI37" s="58">
        <v>22</v>
      </c>
      <c r="AJ37" s="58">
        <v>21</v>
      </c>
      <c r="AK37" s="50">
        <f t="shared" si="9"/>
        <v>43</v>
      </c>
      <c r="AL37" s="50">
        <v>50</v>
      </c>
      <c r="AM37" s="74">
        <f t="shared" si="10"/>
        <v>851</v>
      </c>
      <c r="AN37" s="41" t="s">
        <v>556</v>
      </c>
      <c r="AO37" s="42"/>
    </row>
    <row r="38" spans="1:41" s="117" customFormat="1" ht="100.5" customHeight="1" x14ac:dyDescent="0.4">
      <c r="A38" s="137">
        <v>31</v>
      </c>
      <c r="B38" s="125">
        <v>180090107032</v>
      </c>
      <c r="C38" s="70">
        <v>180000100258</v>
      </c>
      <c r="D38" s="103">
        <v>180532</v>
      </c>
      <c r="E38" s="145" t="s">
        <v>408</v>
      </c>
      <c r="F38" s="95" t="s">
        <v>409</v>
      </c>
      <c r="G38" s="100"/>
      <c r="H38" s="58">
        <v>70</v>
      </c>
      <c r="I38" s="58">
        <v>57</v>
      </c>
      <c r="J38" s="50">
        <f t="shared" si="0"/>
        <v>127</v>
      </c>
      <c r="K38" s="58">
        <v>81</v>
      </c>
      <c r="L38" s="58">
        <v>60</v>
      </c>
      <c r="M38" s="50">
        <f t="shared" si="1"/>
        <v>141</v>
      </c>
      <c r="N38" s="58">
        <v>59</v>
      </c>
      <c r="O38" s="58">
        <v>47</v>
      </c>
      <c r="P38" s="50">
        <f t="shared" si="2"/>
        <v>106</v>
      </c>
      <c r="Q38" s="58">
        <v>63</v>
      </c>
      <c r="R38" s="58">
        <v>49</v>
      </c>
      <c r="S38" s="50">
        <f t="shared" si="3"/>
        <v>112</v>
      </c>
      <c r="T38" s="58">
        <v>75</v>
      </c>
      <c r="U38" s="58">
        <v>57</v>
      </c>
      <c r="V38" s="50">
        <f t="shared" si="4"/>
        <v>132</v>
      </c>
      <c r="W38" s="59">
        <v>48</v>
      </c>
      <c r="X38" s="59">
        <v>35</v>
      </c>
      <c r="Y38" s="50">
        <f t="shared" si="5"/>
        <v>83</v>
      </c>
      <c r="Z38" s="58">
        <v>25</v>
      </c>
      <c r="AA38" s="58">
        <v>25</v>
      </c>
      <c r="AB38" s="50">
        <f t="shared" si="6"/>
        <v>50</v>
      </c>
      <c r="AC38" s="59">
        <v>25</v>
      </c>
      <c r="AD38" s="59">
        <v>25</v>
      </c>
      <c r="AE38" s="50">
        <f t="shared" si="7"/>
        <v>50</v>
      </c>
      <c r="AF38" s="58">
        <v>25</v>
      </c>
      <c r="AG38" s="59">
        <v>25</v>
      </c>
      <c r="AH38" s="50">
        <f t="shared" si="8"/>
        <v>50</v>
      </c>
      <c r="AI38" s="58">
        <v>24</v>
      </c>
      <c r="AJ38" s="58">
        <v>23</v>
      </c>
      <c r="AK38" s="50">
        <f t="shared" si="9"/>
        <v>47</v>
      </c>
      <c r="AL38" s="50">
        <v>46</v>
      </c>
      <c r="AM38" s="74">
        <f t="shared" si="10"/>
        <v>898</v>
      </c>
      <c r="AN38" s="41" t="s">
        <v>556</v>
      </c>
      <c r="AO38" s="42"/>
    </row>
    <row r="39" spans="1:41" s="117" customFormat="1" ht="100.5" customHeight="1" x14ac:dyDescent="0.4">
      <c r="A39" s="137">
        <v>32</v>
      </c>
      <c r="B39" s="125">
        <v>180090107033</v>
      </c>
      <c r="C39" s="70">
        <v>180000100259</v>
      </c>
      <c r="D39" s="103">
        <v>180533</v>
      </c>
      <c r="E39" s="144" t="s">
        <v>410</v>
      </c>
      <c r="F39" s="98" t="s">
        <v>411</v>
      </c>
      <c r="G39" s="100"/>
      <c r="H39" s="58">
        <v>73</v>
      </c>
      <c r="I39" s="58">
        <v>57</v>
      </c>
      <c r="J39" s="50">
        <f t="shared" si="0"/>
        <v>130</v>
      </c>
      <c r="K39" s="58">
        <v>80</v>
      </c>
      <c r="L39" s="58">
        <v>60</v>
      </c>
      <c r="M39" s="50">
        <f t="shared" si="1"/>
        <v>140</v>
      </c>
      <c r="N39" s="58">
        <v>59</v>
      </c>
      <c r="O39" s="58">
        <v>41</v>
      </c>
      <c r="P39" s="50">
        <f t="shared" si="2"/>
        <v>100</v>
      </c>
      <c r="Q39" s="58">
        <v>57</v>
      </c>
      <c r="R39" s="58">
        <v>51</v>
      </c>
      <c r="S39" s="50">
        <f t="shared" si="3"/>
        <v>108</v>
      </c>
      <c r="T39" s="58">
        <v>77</v>
      </c>
      <c r="U39" s="58">
        <v>57</v>
      </c>
      <c r="V39" s="50">
        <f t="shared" si="4"/>
        <v>134</v>
      </c>
      <c r="W39" s="59">
        <v>46</v>
      </c>
      <c r="X39" s="59">
        <v>35</v>
      </c>
      <c r="Y39" s="50">
        <f t="shared" si="5"/>
        <v>81</v>
      </c>
      <c r="Z39" s="58">
        <v>24</v>
      </c>
      <c r="AA39" s="58">
        <v>24</v>
      </c>
      <c r="AB39" s="50">
        <f t="shared" si="6"/>
        <v>48</v>
      </c>
      <c r="AC39" s="59">
        <v>22</v>
      </c>
      <c r="AD39" s="59">
        <v>22</v>
      </c>
      <c r="AE39" s="50">
        <f t="shared" si="7"/>
        <v>44</v>
      </c>
      <c r="AF39" s="58">
        <v>22</v>
      </c>
      <c r="AG39" s="59">
        <v>21</v>
      </c>
      <c r="AH39" s="50">
        <f t="shared" si="8"/>
        <v>43</v>
      </c>
      <c r="AI39" s="58">
        <v>23</v>
      </c>
      <c r="AJ39" s="58">
        <v>22</v>
      </c>
      <c r="AK39" s="50">
        <f t="shared" si="9"/>
        <v>45</v>
      </c>
      <c r="AL39" s="159">
        <v>50</v>
      </c>
      <c r="AM39" s="74">
        <f t="shared" si="10"/>
        <v>873</v>
      </c>
      <c r="AN39" s="41" t="s">
        <v>556</v>
      </c>
      <c r="AO39" s="42"/>
    </row>
    <row r="40" spans="1:41" s="117" customFormat="1" ht="100.5" customHeight="1" x14ac:dyDescent="0.4">
      <c r="A40" s="137">
        <v>33</v>
      </c>
      <c r="B40" s="125">
        <v>180090107034</v>
      </c>
      <c r="C40" s="70">
        <v>180000100260</v>
      </c>
      <c r="D40" s="103">
        <v>180535</v>
      </c>
      <c r="E40" s="145" t="s">
        <v>412</v>
      </c>
      <c r="F40" s="95" t="s">
        <v>413</v>
      </c>
      <c r="G40" s="100"/>
      <c r="H40" s="58">
        <v>73</v>
      </c>
      <c r="I40" s="58">
        <v>59</v>
      </c>
      <c r="J40" s="50">
        <f t="shared" si="0"/>
        <v>132</v>
      </c>
      <c r="K40" s="58">
        <v>90</v>
      </c>
      <c r="L40" s="58">
        <v>54</v>
      </c>
      <c r="M40" s="50">
        <f t="shared" si="1"/>
        <v>144</v>
      </c>
      <c r="N40" s="58">
        <v>58</v>
      </c>
      <c r="O40" s="58">
        <v>39</v>
      </c>
      <c r="P40" s="50">
        <f t="shared" si="2"/>
        <v>97</v>
      </c>
      <c r="Q40" s="58">
        <v>60</v>
      </c>
      <c r="R40" s="58">
        <v>51</v>
      </c>
      <c r="S40" s="50">
        <f t="shared" si="3"/>
        <v>111</v>
      </c>
      <c r="T40" s="58">
        <v>75</v>
      </c>
      <c r="U40" s="58">
        <v>58</v>
      </c>
      <c r="V40" s="50">
        <f t="shared" si="4"/>
        <v>133</v>
      </c>
      <c r="W40" s="59">
        <v>47</v>
      </c>
      <c r="X40" s="59">
        <v>33</v>
      </c>
      <c r="Y40" s="50">
        <f t="shared" si="5"/>
        <v>80</v>
      </c>
      <c r="Z40" s="58">
        <v>21</v>
      </c>
      <c r="AA40" s="58">
        <v>22</v>
      </c>
      <c r="AB40" s="50">
        <f t="shared" si="6"/>
        <v>43</v>
      </c>
      <c r="AC40" s="59">
        <v>23</v>
      </c>
      <c r="AD40" s="59">
        <v>23</v>
      </c>
      <c r="AE40" s="50">
        <f t="shared" si="7"/>
        <v>46</v>
      </c>
      <c r="AF40" s="58">
        <v>24</v>
      </c>
      <c r="AG40" s="59">
        <v>22</v>
      </c>
      <c r="AH40" s="50">
        <f t="shared" si="8"/>
        <v>46</v>
      </c>
      <c r="AI40" s="58">
        <v>24</v>
      </c>
      <c r="AJ40" s="58">
        <v>23</v>
      </c>
      <c r="AK40" s="50">
        <f t="shared" si="9"/>
        <v>47</v>
      </c>
      <c r="AL40" s="50">
        <v>50</v>
      </c>
      <c r="AM40" s="74">
        <f t="shared" si="10"/>
        <v>879</v>
      </c>
      <c r="AN40" s="41" t="s">
        <v>556</v>
      </c>
      <c r="AO40" s="42"/>
    </row>
    <row r="41" spans="1:41" s="117" customFormat="1" ht="100.5" customHeight="1" x14ac:dyDescent="0.4">
      <c r="A41" s="137">
        <v>34</v>
      </c>
      <c r="B41" s="125">
        <v>180090107035</v>
      </c>
      <c r="C41" s="70">
        <v>180000100261</v>
      </c>
      <c r="D41" s="103">
        <v>180536</v>
      </c>
      <c r="E41" s="145" t="s">
        <v>414</v>
      </c>
      <c r="F41" s="95" t="s">
        <v>415</v>
      </c>
      <c r="G41" s="100"/>
      <c r="H41" s="58">
        <v>75</v>
      </c>
      <c r="I41" s="58">
        <v>57</v>
      </c>
      <c r="J41" s="50">
        <f t="shared" si="0"/>
        <v>132</v>
      </c>
      <c r="K41" s="58">
        <v>77</v>
      </c>
      <c r="L41" s="58">
        <v>56</v>
      </c>
      <c r="M41" s="50">
        <f t="shared" si="1"/>
        <v>133</v>
      </c>
      <c r="N41" s="58">
        <v>59</v>
      </c>
      <c r="O41" s="58">
        <v>38</v>
      </c>
      <c r="P41" s="50">
        <f t="shared" si="2"/>
        <v>97</v>
      </c>
      <c r="Q41" s="58">
        <v>62</v>
      </c>
      <c r="R41" s="58">
        <v>51</v>
      </c>
      <c r="S41" s="50">
        <f t="shared" si="3"/>
        <v>113</v>
      </c>
      <c r="T41" s="58">
        <v>75</v>
      </c>
      <c r="U41" s="58">
        <v>55</v>
      </c>
      <c r="V41" s="50">
        <f t="shared" si="4"/>
        <v>130</v>
      </c>
      <c r="W41" s="59">
        <v>45</v>
      </c>
      <c r="X41" s="59">
        <v>35</v>
      </c>
      <c r="Y41" s="50">
        <f t="shared" si="5"/>
        <v>80</v>
      </c>
      <c r="Z41" s="58">
        <v>24</v>
      </c>
      <c r="AA41" s="58">
        <v>24</v>
      </c>
      <c r="AB41" s="50">
        <f t="shared" si="6"/>
        <v>48</v>
      </c>
      <c r="AC41" s="59">
        <v>21</v>
      </c>
      <c r="AD41" s="59">
        <v>22</v>
      </c>
      <c r="AE41" s="50">
        <f t="shared" si="7"/>
        <v>43</v>
      </c>
      <c r="AF41" s="58">
        <v>21</v>
      </c>
      <c r="AG41" s="59">
        <v>24</v>
      </c>
      <c r="AH41" s="50">
        <f t="shared" si="8"/>
        <v>45</v>
      </c>
      <c r="AI41" s="58">
        <v>24</v>
      </c>
      <c r="AJ41" s="58">
        <v>23</v>
      </c>
      <c r="AK41" s="50">
        <f t="shared" si="9"/>
        <v>47</v>
      </c>
      <c r="AL41" s="50">
        <v>50</v>
      </c>
      <c r="AM41" s="74">
        <f t="shared" si="10"/>
        <v>868</v>
      </c>
      <c r="AN41" s="41" t="s">
        <v>556</v>
      </c>
      <c r="AO41" s="42"/>
    </row>
    <row r="42" spans="1:41" s="117" customFormat="1" ht="100.5" customHeight="1" x14ac:dyDescent="0.4">
      <c r="A42" s="137">
        <v>35</v>
      </c>
      <c r="B42" s="125">
        <v>180090107036</v>
      </c>
      <c r="C42" s="70">
        <v>180000100262</v>
      </c>
      <c r="D42" s="103">
        <v>180537</v>
      </c>
      <c r="E42" s="145" t="s">
        <v>416</v>
      </c>
      <c r="F42" s="95" t="s">
        <v>32</v>
      </c>
      <c r="G42" s="100"/>
      <c r="H42" s="58">
        <v>62</v>
      </c>
      <c r="I42" s="58">
        <v>51</v>
      </c>
      <c r="J42" s="50">
        <f t="shared" si="0"/>
        <v>113</v>
      </c>
      <c r="K42" s="58">
        <v>66</v>
      </c>
      <c r="L42" s="58">
        <v>57</v>
      </c>
      <c r="M42" s="50">
        <f t="shared" si="1"/>
        <v>123</v>
      </c>
      <c r="N42" s="58">
        <v>54</v>
      </c>
      <c r="O42" s="58">
        <v>41</v>
      </c>
      <c r="P42" s="50">
        <f t="shared" si="2"/>
        <v>95</v>
      </c>
      <c r="Q42" s="58">
        <v>51</v>
      </c>
      <c r="R42" s="58">
        <v>46</v>
      </c>
      <c r="S42" s="50">
        <f t="shared" si="3"/>
        <v>97</v>
      </c>
      <c r="T42" s="58">
        <v>71</v>
      </c>
      <c r="U42" s="58">
        <v>51</v>
      </c>
      <c r="V42" s="50">
        <f t="shared" si="4"/>
        <v>122</v>
      </c>
      <c r="W42" s="59">
        <v>38</v>
      </c>
      <c r="X42" s="59">
        <v>19</v>
      </c>
      <c r="Y42" s="50">
        <f t="shared" si="5"/>
        <v>57</v>
      </c>
      <c r="Z42" s="58">
        <v>25</v>
      </c>
      <c r="AA42" s="58">
        <v>24</v>
      </c>
      <c r="AB42" s="50">
        <f t="shared" si="6"/>
        <v>49</v>
      </c>
      <c r="AC42" s="59">
        <v>16</v>
      </c>
      <c r="AD42" s="59">
        <v>16</v>
      </c>
      <c r="AE42" s="50">
        <f t="shared" si="7"/>
        <v>32</v>
      </c>
      <c r="AF42" s="58">
        <v>21</v>
      </c>
      <c r="AG42" s="59">
        <v>24</v>
      </c>
      <c r="AH42" s="50">
        <f t="shared" si="8"/>
        <v>45</v>
      </c>
      <c r="AI42" s="58">
        <v>13</v>
      </c>
      <c r="AJ42" s="58">
        <v>15</v>
      </c>
      <c r="AK42" s="50">
        <f t="shared" si="9"/>
        <v>28</v>
      </c>
      <c r="AL42" s="159">
        <v>45</v>
      </c>
      <c r="AM42" s="74">
        <f t="shared" si="10"/>
        <v>761</v>
      </c>
      <c r="AN42" s="41" t="s">
        <v>556</v>
      </c>
      <c r="AO42" s="42"/>
    </row>
    <row r="43" spans="1:41" s="117" customFormat="1" ht="100.5" customHeight="1" x14ac:dyDescent="0.4">
      <c r="A43" s="137">
        <v>36</v>
      </c>
      <c r="B43" s="125">
        <v>180090107037</v>
      </c>
      <c r="C43" s="70">
        <v>180000100263</v>
      </c>
      <c r="D43" s="103">
        <v>180538</v>
      </c>
      <c r="E43" s="145" t="s">
        <v>417</v>
      </c>
      <c r="F43" s="95" t="s">
        <v>418</v>
      </c>
      <c r="G43" s="100"/>
      <c r="H43" s="58">
        <v>67</v>
      </c>
      <c r="I43" s="58">
        <v>59</v>
      </c>
      <c r="J43" s="50">
        <f t="shared" si="0"/>
        <v>126</v>
      </c>
      <c r="K43" s="58">
        <v>75</v>
      </c>
      <c r="L43" s="58">
        <v>54</v>
      </c>
      <c r="M43" s="50">
        <f t="shared" si="1"/>
        <v>129</v>
      </c>
      <c r="N43" s="58">
        <v>58</v>
      </c>
      <c r="O43" s="58">
        <v>37</v>
      </c>
      <c r="P43" s="50">
        <f t="shared" si="2"/>
        <v>95</v>
      </c>
      <c r="Q43" s="58">
        <v>63</v>
      </c>
      <c r="R43" s="58">
        <v>44</v>
      </c>
      <c r="S43" s="50">
        <f t="shared" si="3"/>
        <v>107</v>
      </c>
      <c r="T43" s="58">
        <v>74</v>
      </c>
      <c r="U43" s="58">
        <v>57</v>
      </c>
      <c r="V43" s="50">
        <f t="shared" si="4"/>
        <v>131</v>
      </c>
      <c r="W43" s="59">
        <v>45</v>
      </c>
      <c r="X43" s="59">
        <v>35</v>
      </c>
      <c r="Y43" s="50">
        <f t="shared" si="5"/>
        <v>80</v>
      </c>
      <c r="Z43" s="58">
        <v>24</v>
      </c>
      <c r="AA43" s="58">
        <v>23</v>
      </c>
      <c r="AB43" s="50">
        <f t="shared" si="6"/>
        <v>47</v>
      </c>
      <c r="AC43" s="59">
        <v>20</v>
      </c>
      <c r="AD43" s="59">
        <v>21</v>
      </c>
      <c r="AE43" s="50">
        <f t="shared" si="7"/>
        <v>41</v>
      </c>
      <c r="AF43" s="58">
        <v>21</v>
      </c>
      <c r="AG43" s="59">
        <v>23</v>
      </c>
      <c r="AH43" s="50">
        <f t="shared" si="8"/>
        <v>44</v>
      </c>
      <c r="AI43" s="58">
        <v>23</v>
      </c>
      <c r="AJ43" s="58">
        <v>22</v>
      </c>
      <c r="AK43" s="50">
        <f t="shared" si="9"/>
        <v>45</v>
      </c>
      <c r="AL43" s="50">
        <v>50</v>
      </c>
      <c r="AM43" s="74">
        <f t="shared" si="10"/>
        <v>845</v>
      </c>
      <c r="AN43" s="41" t="s">
        <v>556</v>
      </c>
      <c r="AO43" s="42"/>
    </row>
    <row r="44" spans="1:41" s="117" customFormat="1" ht="100.5" customHeight="1" x14ac:dyDescent="0.4">
      <c r="A44" s="137">
        <v>37</v>
      </c>
      <c r="B44" s="125">
        <v>180090107038</v>
      </c>
      <c r="C44" s="70">
        <v>180000100264</v>
      </c>
      <c r="D44" s="103">
        <v>180539</v>
      </c>
      <c r="E44" s="145" t="s">
        <v>419</v>
      </c>
      <c r="F44" s="95" t="s">
        <v>420</v>
      </c>
      <c r="G44" s="100"/>
      <c r="H44" s="58">
        <v>59</v>
      </c>
      <c r="I44" s="58">
        <v>57</v>
      </c>
      <c r="J44" s="50">
        <f t="shared" si="0"/>
        <v>116</v>
      </c>
      <c r="K44" s="58">
        <v>89</v>
      </c>
      <c r="L44" s="58">
        <v>60</v>
      </c>
      <c r="M44" s="50">
        <f t="shared" si="1"/>
        <v>149</v>
      </c>
      <c r="N44" s="58">
        <v>58</v>
      </c>
      <c r="O44" s="58">
        <v>38</v>
      </c>
      <c r="P44" s="50">
        <f t="shared" si="2"/>
        <v>96</v>
      </c>
      <c r="Q44" s="58">
        <v>57</v>
      </c>
      <c r="R44" s="58">
        <v>52</v>
      </c>
      <c r="S44" s="50">
        <f t="shared" si="3"/>
        <v>109</v>
      </c>
      <c r="T44" s="58">
        <v>76</v>
      </c>
      <c r="U44" s="58">
        <v>57</v>
      </c>
      <c r="V44" s="50">
        <f t="shared" si="4"/>
        <v>133</v>
      </c>
      <c r="W44" s="59">
        <v>46</v>
      </c>
      <c r="X44" s="59">
        <v>29</v>
      </c>
      <c r="Y44" s="50">
        <f t="shared" si="5"/>
        <v>75</v>
      </c>
      <c r="Z44" s="58">
        <v>25</v>
      </c>
      <c r="AA44" s="58">
        <v>25</v>
      </c>
      <c r="AB44" s="50">
        <f t="shared" si="6"/>
        <v>50</v>
      </c>
      <c r="AC44" s="59">
        <v>22</v>
      </c>
      <c r="AD44" s="59">
        <v>22</v>
      </c>
      <c r="AE44" s="50">
        <f t="shared" si="7"/>
        <v>44</v>
      </c>
      <c r="AF44" s="58">
        <v>21</v>
      </c>
      <c r="AG44" s="59">
        <v>23</v>
      </c>
      <c r="AH44" s="50">
        <f t="shared" si="8"/>
        <v>44</v>
      </c>
      <c r="AI44" s="58">
        <v>22</v>
      </c>
      <c r="AJ44" s="58">
        <v>21</v>
      </c>
      <c r="AK44" s="50">
        <f t="shared" si="9"/>
        <v>43</v>
      </c>
      <c r="AL44" s="50">
        <v>50</v>
      </c>
      <c r="AM44" s="74">
        <f t="shared" si="10"/>
        <v>859</v>
      </c>
      <c r="AN44" s="41" t="s">
        <v>556</v>
      </c>
      <c r="AO44" s="42"/>
    </row>
    <row r="45" spans="1:41" s="117" customFormat="1" ht="100.5" customHeight="1" x14ac:dyDescent="0.4">
      <c r="A45" s="137">
        <v>38</v>
      </c>
      <c r="B45" s="125">
        <v>180090107039</v>
      </c>
      <c r="C45" s="70">
        <v>180000100265</v>
      </c>
      <c r="D45" s="103">
        <v>180540</v>
      </c>
      <c r="E45" s="144" t="s">
        <v>421</v>
      </c>
      <c r="F45" s="98" t="s">
        <v>422</v>
      </c>
      <c r="G45" s="100"/>
      <c r="H45" s="58">
        <v>70</v>
      </c>
      <c r="I45" s="58">
        <v>57</v>
      </c>
      <c r="J45" s="50">
        <f t="shared" si="0"/>
        <v>127</v>
      </c>
      <c r="K45" s="58">
        <v>68</v>
      </c>
      <c r="L45" s="58">
        <v>51</v>
      </c>
      <c r="M45" s="50">
        <f t="shared" si="1"/>
        <v>119</v>
      </c>
      <c r="N45" s="58">
        <v>58</v>
      </c>
      <c r="O45" s="58">
        <v>41</v>
      </c>
      <c r="P45" s="50">
        <f t="shared" si="2"/>
        <v>99</v>
      </c>
      <c r="Q45" s="58">
        <v>53</v>
      </c>
      <c r="R45" s="58">
        <v>43</v>
      </c>
      <c r="S45" s="50">
        <f t="shared" si="3"/>
        <v>96</v>
      </c>
      <c r="T45" s="58">
        <v>73</v>
      </c>
      <c r="U45" s="58">
        <v>57</v>
      </c>
      <c r="V45" s="50">
        <f t="shared" si="4"/>
        <v>130</v>
      </c>
      <c r="W45" s="59">
        <v>39</v>
      </c>
      <c r="X45" s="59">
        <v>20</v>
      </c>
      <c r="Y45" s="50">
        <f t="shared" si="5"/>
        <v>59</v>
      </c>
      <c r="Z45" s="58">
        <v>20</v>
      </c>
      <c r="AA45" s="58">
        <v>23</v>
      </c>
      <c r="AB45" s="50">
        <f t="shared" si="6"/>
        <v>43</v>
      </c>
      <c r="AC45" s="59">
        <v>19</v>
      </c>
      <c r="AD45" s="59">
        <v>19</v>
      </c>
      <c r="AE45" s="50">
        <f t="shared" si="7"/>
        <v>38</v>
      </c>
      <c r="AF45" s="58">
        <v>25</v>
      </c>
      <c r="AG45" s="59">
        <v>22</v>
      </c>
      <c r="AH45" s="50">
        <f t="shared" si="8"/>
        <v>47</v>
      </c>
      <c r="AI45" s="58">
        <v>22</v>
      </c>
      <c r="AJ45" s="58">
        <v>21</v>
      </c>
      <c r="AK45" s="50">
        <f t="shared" si="9"/>
        <v>43</v>
      </c>
      <c r="AL45" s="159">
        <v>45</v>
      </c>
      <c r="AM45" s="74">
        <f t="shared" si="10"/>
        <v>801</v>
      </c>
      <c r="AN45" s="41" t="s">
        <v>556</v>
      </c>
      <c r="AO45" s="42"/>
    </row>
    <row r="46" spans="1:41" s="117" customFormat="1" ht="100.5" customHeight="1" x14ac:dyDescent="0.4">
      <c r="A46" s="137">
        <v>39</v>
      </c>
      <c r="B46" s="125">
        <v>180090107040</v>
      </c>
      <c r="C46" s="70">
        <v>180000100266</v>
      </c>
      <c r="D46" s="103">
        <v>180541</v>
      </c>
      <c r="E46" s="145" t="s">
        <v>423</v>
      </c>
      <c r="F46" s="95" t="s">
        <v>424</v>
      </c>
      <c r="G46" s="100"/>
      <c r="H46" s="58">
        <v>65</v>
      </c>
      <c r="I46" s="58">
        <v>53</v>
      </c>
      <c r="J46" s="50">
        <f t="shared" si="0"/>
        <v>118</v>
      </c>
      <c r="K46" s="58">
        <v>75</v>
      </c>
      <c r="L46" s="58">
        <v>57</v>
      </c>
      <c r="M46" s="50">
        <f t="shared" si="1"/>
        <v>132</v>
      </c>
      <c r="N46" s="58">
        <v>56</v>
      </c>
      <c r="O46" s="58">
        <v>41</v>
      </c>
      <c r="P46" s="50">
        <f t="shared" si="2"/>
        <v>97</v>
      </c>
      <c r="Q46" s="58">
        <v>57</v>
      </c>
      <c r="R46" s="58">
        <v>35</v>
      </c>
      <c r="S46" s="50">
        <f t="shared" si="3"/>
        <v>92</v>
      </c>
      <c r="T46" s="58">
        <v>72</v>
      </c>
      <c r="U46" s="58">
        <v>53</v>
      </c>
      <c r="V46" s="50">
        <f t="shared" si="4"/>
        <v>125</v>
      </c>
      <c r="W46" s="59">
        <v>45</v>
      </c>
      <c r="X46" s="59">
        <v>20</v>
      </c>
      <c r="Y46" s="50">
        <f t="shared" si="5"/>
        <v>65</v>
      </c>
      <c r="Z46" s="58">
        <v>20</v>
      </c>
      <c r="AA46" s="58">
        <v>22</v>
      </c>
      <c r="AB46" s="50">
        <f t="shared" si="6"/>
        <v>42</v>
      </c>
      <c r="AC46" s="59" t="s">
        <v>557</v>
      </c>
      <c r="AD46" s="59">
        <v>15</v>
      </c>
      <c r="AE46" s="50">
        <f t="shared" si="7"/>
        <v>15</v>
      </c>
      <c r="AF46" s="58" t="s">
        <v>557</v>
      </c>
      <c r="AG46" s="59" t="s">
        <v>557</v>
      </c>
      <c r="AH46" s="50">
        <f t="shared" si="8"/>
        <v>0</v>
      </c>
      <c r="AI46" s="58" t="s">
        <v>557</v>
      </c>
      <c r="AJ46" s="58">
        <v>13</v>
      </c>
      <c r="AK46" s="50">
        <f t="shared" si="9"/>
        <v>13</v>
      </c>
      <c r="AL46" s="50">
        <v>50</v>
      </c>
      <c r="AM46" s="74">
        <f t="shared" si="10"/>
        <v>699</v>
      </c>
      <c r="AN46" s="129" t="s">
        <v>591</v>
      </c>
      <c r="AO46" s="91" t="s">
        <v>598</v>
      </c>
    </row>
    <row r="47" spans="1:41" s="117" customFormat="1" ht="100.5" customHeight="1" x14ac:dyDescent="0.4">
      <c r="A47" s="137">
        <v>40</v>
      </c>
      <c r="B47" s="125">
        <v>180090107041</v>
      </c>
      <c r="C47" s="70">
        <v>180000100267</v>
      </c>
      <c r="D47" s="103">
        <v>180542</v>
      </c>
      <c r="E47" s="145" t="s">
        <v>425</v>
      </c>
      <c r="F47" s="95" t="s">
        <v>426</v>
      </c>
      <c r="G47" s="100"/>
      <c r="H47" s="58">
        <v>59</v>
      </c>
      <c r="I47" s="58">
        <v>59</v>
      </c>
      <c r="J47" s="50">
        <f t="shared" si="0"/>
        <v>118</v>
      </c>
      <c r="K47" s="58">
        <v>71</v>
      </c>
      <c r="L47" s="58">
        <v>60</v>
      </c>
      <c r="M47" s="50">
        <f t="shared" si="1"/>
        <v>131</v>
      </c>
      <c r="N47" s="58">
        <v>60</v>
      </c>
      <c r="O47" s="58">
        <v>40</v>
      </c>
      <c r="P47" s="50">
        <f t="shared" si="2"/>
        <v>100</v>
      </c>
      <c r="Q47" s="58">
        <v>62</v>
      </c>
      <c r="R47" s="58">
        <v>48</v>
      </c>
      <c r="S47" s="50">
        <f t="shared" si="3"/>
        <v>110</v>
      </c>
      <c r="T47" s="58">
        <v>71</v>
      </c>
      <c r="U47" s="58">
        <v>58</v>
      </c>
      <c r="V47" s="50">
        <f t="shared" si="4"/>
        <v>129</v>
      </c>
      <c r="W47" s="59">
        <v>48</v>
      </c>
      <c r="X47" s="59">
        <v>29</v>
      </c>
      <c r="Y47" s="50">
        <f t="shared" si="5"/>
        <v>77</v>
      </c>
      <c r="Z47" s="58">
        <v>24</v>
      </c>
      <c r="AA47" s="58">
        <v>23</v>
      </c>
      <c r="AB47" s="50">
        <f t="shared" si="6"/>
        <v>47</v>
      </c>
      <c r="AC47" s="59">
        <v>19</v>
      </c>
      <c r="AD47" s="59">
        <v>19</v>
      </c>
      <c r="AE47" s="50">
        <f t="shared" si="7"/>
        <v>38</v>
      </c>
      <c r="AF47" s="58">
        <v>23</v>
      </c>
      <c r="AG47" s="59">
        <v>23</v>
      </c>
      <c r="AH47" s="50">
        <f t="shared" si="8"/>
        <v>46</v>
      </c>
      <c r="AI47" s="58">
        <v>23</v>
      </c>
      <c r="AJ47" s="58">
        <v>22</v>
      </c>
      <c r="AK47" s="50">
        <f t="shared" si="9"/>
        <v>45</v>
      </c>
      <c r="AL47" s="50">
        <v>45</v>
      </c>
      <c r="AM47" s="74">
        <f t="shared" si="10"/>
        <v>841</v>
      </c>
      <c r="AN47" s="41" t="s">
        <v>556</v>
      </c>
      <c r="AO47" s="42"/>
    </row>
    <row r="48" spans="1:41" s="117" customFormat="1" ht="100.5" customHeight="1" x14ac:dyDescent="0.4">
      <c r="A48" s="137">
        <v>41</v>
      </c>
      <c r="B48" s="125">
        <v>180090107043</v>
      </c>
      <c r="C48" s="70">
        <v>180000100269</v>
      </c>
      <c r="D48" s="103">
        <v>180544</v>
      </c>
      <c r="E48" s="145" t="s">
        <v>427</v>
      </c>
      <c r="F48" s="95" t="s">
        <v>428</v>
      </c>
      <c r="G48" s="100"/>
      <c r="H48" s="58">
        <v>68</v>
      </c>
      <c r="I48" s="58">
        <v>59</v>
      </c>
      <c r="J48" s="50">
        <f t="shared" si="0"/>
        <v>127</v>
      </c>
      <c r="K48" s="58">
        <v>78</v>
      </c>
      <c r="L48" s="58">
        <v>60</v>
      </c>
      <c r="M48" s="50">
        <f t="shared" si="1"/>
        <v>138</v>
      </c>
      <c r="N48" s="58">
        <v>57</v>
      </c>
      <c r="O48" s="58">
        <v>37</v>
      </c>
      <c r="P48" s="50">
        <f t="shared" si="2"/>
        <v>94</v>
      </c>
      <c r="Q48" s="58">
        <v>62</v>
      </c>
      <c r="R48" s="58">
        <v>46</v>
      </c>
      <c r="S48" s="50">
        <f t="shared" si="3"/>
        <v>108</v>
      </c>
      <c r="T48" s="58">
        <v>75</v>
      </c>
      <c r="U48" s="58">
        <v>57</v>
      </c>
      <c r="V48" s="50">
        <f t="shared" si="4"/>
        <v>132</v>
      </c>
      <c r="W48" s="59">
        <v>48</v>
      </c>
      <c r="X48" s="59">
        <v>35</v>
      </c>
      <c r="Y48" s="50">
        <f t="shared" si="5"/>
        <v>83</v>
      </c>
      <c r="Z48" s="58">
        <v>20</v>
      </c>
      <c r="AA48" s="58">
        <v>22</v>
      </c>
      <c r="AB48" s="50">
        <f t="shared" si="6"/>
        <v>42</v>
      </c>
      <c r="AC48" s="59">
        <v>17</v>
      </c>
      <c r="AD48" s="59">
        <v>17</v>
      </c>
      <c r="AE48" s="50">
        <f t="shared" si="7"/>
        <v>34</v>
      </c>
      <c r="AF48" s="58">
        <v>24</v>
      </c>
      <c r="AG48" s="59">
        <v>20</v>
      </c>
      <c r="AH48" s="50">
        <f t="shared" si="8"/>
        <v>44</v>
      </c>
      <c r="AI48" s="58">
        <v>24</v>
      </c>
      <c r="AJ48" s="58">
        <v>23</v>
      </c>
      <c r="AK48" s="50">
        <f t="shared" si="9"/>
        <v>47</v>
      </c>
      <c r="AL48" s="50">
        <v>50</v>
      </c>
      <c r="AM48" s="74">
        <f t="shared" si="10"/>
        <v>849</v>
      </c>
      <c r="AN48" s="41" t="s">
        <v>556</v>
      </c>
      <c r="AO48" s="42"/>
    </row>
    <row r="49" spans="1:41" s="117" customFormat="1" ht="100.5" customHeight="1" x14ac:dyDescent="0.4">
      <c r="A49" s="137">
        <v>42</v>
      </c>
      <c r="B49" s="125">
        <v>180090107044</v>
      </c>
      <c r="C49" s="70">
        <v>180000100270</v>
      </c>
      <c r="D49" s="103">
        <v>180545</v>
      </c>
      <c r="E49" s="144" t="s">
        <v>429</v>
      </c>
      <c r="F49" s="98" t="s">
        <v>430</v>
      </c>
      <c r="G49" s="100"/>
      <c r="H49" s="58">
        <v>75</v>
      </c>
      <c r="I49" s="58">
        <v>59</v>
      </c>
      <c r="J49" s="50">
        <f t="shared" si="0"/>
        <v>134</v>
      </c>
      <c r="K49" s="58">
        <v>81</v>
      </c>
      <c r="L49" s="58">
        <v>60</v>
      </c>
      <c r="M49" s="50">
        <f t="shared" si="1"/>
        <v>141</v>
      </c>
      <c r="N49" s="58">
        <v>58</v>
      </c>
      <c r="O49" s="58">
        <v>38</v>
      </c>
      <c r="P49" s="50">
        <f t="shared" si="2"/>
        <v>96</v>
      </c>
      <c r="Q49" s="58">
        <v>65</v>
      </c>
      <c r="R49" s="58">
        <v>55</v>
      </c>
      <c r="S49" s="50">
        <f t="shared" si="3"/>
        <v>120</v>
      </c>
      <c r="T49" s="58">
        <v>75</v>
      </c>
      <c r="U49" s="58">
        <v>57</v>
      </c>
      <c r="V49" s="50">
        <f t="shared" si="4"/>
        <v>132</v>
      </c>
      <c r="W49" s="59">
        <v>48</v>
      </c>
      <c r="X49" s="59">
        <v>35</v>
      </c>
      <c r="Y49" s="50">
        <f t="shared" si="5"/>
        <v>83</v>
      </c>
      <c r="Z49" s="58">
        <v>24</v>
      </c>
      <c r="AA49" s="58">
        <v>24</v>
      </c>
      <c r="AB49" s="50">
        <f t="shared" si="6"/>
        <v>48</v>
      </c>
      <c r="AC49" s="59">
        <v>18</v>
      </c>
      <c r="AD49" s="59">
        <v>17</v>
      </c>
      <c r="AE49" s="50">
        <f t="shared" si="7"/>
        <v>35</v>
      </c>
      <c r="AF49" s="58">
        <v>21</v>
      </c>
      <c r="AG49" s="59">
        <v>22</v>
      </c>
      <c r="AH49" s="50">
        <f t="shared" si="8"/>
        <v>43</v>
      </c>
      <c r="AI49" s="58">
        <v>24</v>
      </c>
      <c r="AJ49" s="58">
        <v>23</v>
      </c>
      <c r="AK49" s="50">
        <f t="shared" si="9"/>
        <v>47</v>
      </c>
      <c r="AL49" s="50">
        <v>45</v>
      </c>
      <c r="AM49" s="74">
        <f t="shared" si="10"/>
        <v>879</v>
      </c>
      <c r="AN49" s="41" t="s">
        <v>556</v>
      </c>
      <c r="AO49" s="42"/>
    </row>
    <row r="50" spans="1:41" s="117" customFormat="1" ht="100.5" customHeight="1" x14ac:dyDescent="0.4">
      <c r="A50" s="137">
        <v>43</v>
      </c>
      <c r="B50" s="125">
        <v>180090107045</v>
      </c>
      <c r="C50" s="70">
        <v>180000100271</v>
      </c>
      <c r="D50" s="103">
        <v>180546</v>
      </c>
      <c r="E50" s="144" t="s">
        <v>431</v>
      </c>
      <c r="F50" s="98" t="s">
        <v>432</v>
      </c>
      <c r="G50" s="100"/>
      <c r="H50" s="58">
        <v>57</v>
      </c>
      <c r="I50" s="58">
        <v>48</v>
      </c>
      <c r="J50" s="50">
        <f t="shared" si="0"/>
        <v>105</v>
      </c>
      <c r="K50" s="58">
        <v>59</v>
      </c>
      <c r="L50" s="58">
        <v>40</v>
      </c>
      <c r="M50" s="50">
        <f t="shared" si="1"/>
        <v>99</v>
      </c>
      <c r="N50" s="58">
        <v>59</v>
      </c>
      <c r="O50" s="58">
        <v>40</v>
      </c>
      <c r="P50" s="50">
        <f t="shared" si="2"/>
        <v>99</v>
      </c>
      <c r="Q50" s="58">
        <v>57</v>
      </c>
      <c r="R50" s="58">
        <v>43</v>
      </c>
      <c r="S50" s="50">
        <f t="shared" si="3"/>
        <v>100</v>
      </c>
      <c r="T50" s="58">
        <v>76</v>
      </c>
      <c r="U50" s="58">
        <v>48</v>
      </c>
      <c r="V50" s="50">
        <f t="shared" si="4"/>
        <v>124</v>
      </c>
      <c r="W50" s="59">
        <v>45</v>
      </c>
      <c r="X50" s="59">
        <v>19</v>
      </c>
      <c r="Y50" s="50">
        <f t="shared" si="5"/>
        <v>64</v>
      </c>
      <c r="Z50" s="58">
        <v>24</v>
      </c>
      <c r="AA50" s="58">
        <v>24</v>
      </c>
      <c r="AB50" s="50">
        <f t="shared" si="6"/>
        <v>48</v>
      </c>
      <c r="AC50" s="59">
        <v>17</v>
      </c>
      <c r="AD50" s="59">
        <v>17</v>
      </c>
      <c r="AE50" s="50">
        <f t="shared" si="7"/>
        <v>34</v>
      </c>
      <c r="AF50" s="58">
        <v>21</v>
      </c>
      <c r="AG50" s="59">
        <v>19</v>
      </c>
      <c r="AH50" s="50">
        <f t="shared" si="8"/>
        <v>40</v>
      </c>
      <c r="AI50" s="58">
        <v>17</v>
      </c>
      <c r="AJ50" s="58">
        <v>17</v>
      </c>
      <c r="AK50" s="50">
        <f t="shared" si="9"/>
        <v>34</v>
      </c>
      <c r="AL50" s="159">
        <v>44</v>
      </c>
      <c r="AM50" s="74">
        <f t="shared" si="10"/>
        <v>747</v>
      </c>
      <c r="AN50" s="41" t="s">
        <v>556</v>
      </c>
      <c r="AO50" s="42"/>
    </row>
    <row r="51" spans="1:41" s="117" customFormat="1" ht="100.5" customHeight="1" x14ac:dyDescent="0.4">
      <c r="A51" s="137">
        <v>44</v>
      </c>
      <c r="B51" s="125">
        <v>180090107046</v>
      </c>
      <c r="C51" s="70">
        <v>180000100272</v>
      </c>
      <c r="D51" s="103">
        <v>180547</v>
      </c>
      <c r="E51" s="144" t="s">
        <v>433</v>
      </c>
      <c r="F51" s="98" t="s">
        <v>434</v>
      </c>
      <c r="G51" s="100"/>
      <c r="H51" s="58">
        <v>70</v>
      </c>
      <c r="I51" s="58">
        <v>57</v>
      </c>
      <c r="J51" s="50">
        <f t="shared" si="0"/>
        <v>127</v>
      </c>
      <c r="K51" s="58">
        <v>78</v>
      </c>
      <c r="L51" s="58">
        <v>60</v>
      </c>
      <c r="M51" s="50">
        <f t="shared" si="1"/>
        <v>138</v>
      </c>
      <c r="N51" s="58">
        <v>57</v>
      </c>
      <c r="O51" s="58">
        <v>38</v>
      </c>
      <c r="P51" s="50">
        <f t="shared" si="2"/>
        <v>95</v>
      </c>
      <c r="Q51" s="58">
        <v>60</v>
      </c>
      <c r="R51" s="58">
        <v>45</v>
      </c>
      <c r="S51" s="50">
        <f t="shared" si="3"/>
        <v>105</v>
      </c>
      <c r="T51" s="58">
        <v>75</v>
      </c>
      <c r="U51" s="58">
        <v>57</v>
      </c>
      <c r="V51" s="50">
        <f t="shared" si="4"/>
        <v>132</v>
      </c>
      <c r="W51" s="59">
        <v>46</v>
      </c>
      <c r="X51" s="59">
        <v>33</v>
      </c>
      <c r="Y51" s="50">
        <f t="shared" si="5"/>
        <v>79</v>
      </c>
      <c r="Z51" s="58">
        <v>23</v>
      </c>
      <c r="AA51" s="58">
        <v>22</v>
      </c>
      <c r="AB51" s="50">
        <f t="shared" si="6"/>
        <v>45</v>
      </c>
      <c r="AC51" s="59">
        <v>15</v>
      </c>
      <c r="AD51" s="59">
        <v>15</v>
      </c>
      <c r="AE51" s="50">
        <f t="shared" si="7"/>
        <v>30</v>
      </c>
      <c r="AF51" s="58">
        <v>22</v>
      </c>
      <c r="AG51" s="59">
        <v>24</v>
      </c>
      <c r="AH51" s="50">
        <f t="shared" si="8"/>
        <v>46</v>
      </c>
      <c r="AI51" s="58">
        <v>22</v>
      </c>
      <c r="AJ51" s="58">
        <v>21</v>
      </c>
      <c r="AK51" s="50">
        <f t="shared" si="9"/>
        <v>43</v>
      </c>
      <c r="AL51" s="50">
        <v>50</v>
      </c>
      <c r="AM51" s="74">
        <f t="shared" si="10"/>
        <v>840</v>
      </c>
      <c r="AN51" s="41" t="s">
        <v>556</v>
      </c>
      <c r="AO51" s="42"/>
    </row>
    <row r="52" spans="1:41" s="117" customFormat="1" ht="100.5" customHeight="1" x14ac:dyDescent="0.4">
      <c r="A52" s="137">
        <v>45</v>
      </c>
      <c r="B52" s="125">
        <v>180090107047</v>
      </c>
      <c r="C52" s="70">
        <v>180000100273</v>
      </c>
      <c r="D52" s="103">
        <v>180548</v>
      </c>
      <c r="E52" s="145" t="s">
        <v>435</v>
      </c>
      <c r="F52" s="95" t="s">
        <v>436</v>
      </c>
      <c r="G52" s="100"/>
      <c r="H52" s="58">
        <v>53</v>
      </c>
      <c r="I52" s="58">
        <v>44</v>
      </c>
      <c r="J52" s="50">
        <f t="shared" si="0"/>
        <v>97</v>
      </c>
      <c r="K52" s="58">
        <v>47</v>
      </c>
      <c r="L52" s="160">
        <v>15</v>
      </c>
      <c r="M52" s="50">
        <f t="shared" si="1"/>
        <v>62</v>
      </c>
      <c r="N52" s="58">
        <v>56</v>
      </c>
      <c r="O52" s="58">
        <v>39</v>
      </c>
      <c r="P52" s="50">
        <f t="shared" si="2"/>
        <v>95</v>
      </c>
      <c r="Q52" s="160">
        <v>54</v>
      </c>
      <c r="R52" s="58">
        <v>3</v>
      </c>
      <c r="S52" s="50">
        <f t="shared" si="3"/>
        <v>57</v>
      </c>
      <c r="T52" s="58">
        <v>73</v>
      </c>
      <c r="U52" s="58">
        <v>44</v>
      </c>
      <c r="V52" s="50">
        <f t="shared" si="4"/>
        <v>117</v>
      </c>
      <c r="W52" s="59">
        <v>39</v>
      </c>
      <c r="X52" s="59">
        <v>8</v>
      </c>
      <c r="Y52" s="50">
        <f t="shared" si="5"/>
        <v>47</v>
      </c>
      <c r="Z52" s="58">
        <v>23</v>
      </c>
      <c r="AA52" s="58">
        <v>22</v>
      </c>
      <c r="AB52" s="50">
        <f t="shared" si="6"/>
        <v>45</v>
      </c>
      <c r="AC52" s="59" t="s">
        <v>557</v>
      </c>
      <c r="AD52" s="59">
        <v>15</v>
      </c>
      <c r="AE52" s="50">
        <f t="shared" si="7"/>
        <v>15</v>
      </c>
      <c r="AF52" s="58">
        <v>18</v>
      </c>
      <c r="AG52" s="59">
        <v>14</v>
      </c>
      <c r="AH52" s="50">
        <f t="shared" si="8"/>
        <v>32</v>
      </c>
      <c r="AI52" s="160" t="s">
        <v>557</v>
      </c>
      <c r="AJ52" s="58">
        <v>13</v>
      </c>
      <c r="AK52" s="50">
        <f t="shared" si="9"/>
        <v>13</v>
      </c>
      <c r="AL52" s="50">
        <v>44</v>
      </c>
      <c r="AM52" s="74">
        <f t="shared" si="10"/>
        <v>580</v>
      </c>
      <c r="AN52" s="129" t="s">
        <v>591</v>
      </c>
      <c r="AO52" s="91" t="s">
        <v>599</v>
      </c>
    </row>
    <row r="53" spans="1:41" s="117" customFormat="1" ht="100.5" customHeight="1" x14ac:dyDescent="0.4">
      <c r="A53" s="137">
        <v>46</v>
      </c>
      <c r="B53" s="125">
        <v>180090107048</v>
      </c>
      <c r="C53" s="70">
        <v>180000100274</v>
      </c>
      <c r="D53" s="103">
        <v>180549</v>
      </c>
      <c r="E53" s="146" t="s">
        <v>437</v>
      </c>
      <c r="F53" s="138" t="s">
        <v>438</v>
      </c>
      <c r="G53" s="100"/>
      <c r="H53" s="58">
        <v>67</v>
      </c>
      <c r="I53" s="58">
        <v>56</v>
      </c>
      <c r="J53" s="50">
        <f t="shared" si="0"/>
        <v>123</v>
      </c>
      <c r="K53" s="58">
        <v>68</v>
      </c>
      <c r="L53" s="58">
        <v>60</v>
      </c>
      <c r="M53" s="50">
        <f t="shared" si="1"/>
        <v>128</v>
      </c>
      <c r="N53" s="58">
        <v>56</v>
      </c>
      <c r="O53" s="58">
        <v>37</v>
      </c>
      <c r="P53" s="50">
        <f t="shared" si="2"/>
        <v>93</v>
      </c>
      <c r="Q53" s="58">
        <v>51</v>
      </c>
      <c r="R53" s="58">
        <v>43</v>
      </c>
      <c r="S53" s="50">
        <f t="shared" si="3"/>
        <v>94</v>
      </c>
      <c r="T53" s="58">
        <v>63</v>
      </c>
      <c r="U53" s="58">
        <v>56</v>
      </c>
      <c r="V53" s="50">
        <f t="shared" si="4"/>
        <v>119</v>
      </c>
      <c r="W53" s="59">
        <v>41</v>
      </c>
      <c r="X53" s="59">
        <v>33</v>
      </c>
      <c r="Y53" s="50">
        <f t="shared" si="5"/>
        <v>74</v>
      </c>
      <c r="Z53" s="58">
        <v>23</v>
      </c>
      <c r="AA53" s="58">
        <v>22</v>
      </c>
      <c r="AB53" s="50">
        <f t="shared" si="6"/>
        <v>45</v>
      </c>
      <c r="AC53" s="59">
        <v>17</v>
      </c>
      <c r="AD53" s="59">
        <v>17</v>
      </c>
      <c r="AE53" s="50">
        <f t="shared" si="7"/>
        <v>34</v>
      </c>
      <c r="AF53" s="58">
        <v>22</v>
      </c>
      <c r="AG53" s="59">
        <v>19</v>
      </c>
      <c r="AH53" s="50">
        <f t="shared" si="8"/>
        <v>41</v>
      </c>
      <c r="AI53" s="58">
        <v>15</v>
      </c>
      <c r="AJ53" s="58">
        <v>15</v>
      </c>
      <c r="AK53" s="50">
        <f t="shared" si="9"/>
        <v>30</v>
      </c>
      <c r="AL53" s="159">
        <v>45</v>
      </c>
      <c r="AM53" s="74">
        <f t="shared" si="10"/>
        <v>781</v>
      </c>
      <c r="AN53" s="41" t="s">
        <v>556</v>
      </c>
      <c r="AO53" s="42"/>
    </row>
    <row r="54" spans="1:41" s="117" customFormat="1" ht="100.5" customHeight="1" x14ac:dyDescent="0.4">
      <c r="A54" s="137">
        <v>47</v>
      </c>
      <c r="B54" s="125">
        <v>180090107049</v>
      </c>
      <c r="C54" s="70">
        <v>180000100275</v>
      </c>
      <c r="D54" s="103">
        <v>180550</v>
      </c>
      <c r="E54" s="146" t="s">
        <v>41</v>
      </c>
      <c r="F54" s="138" t="s">
        <v>439</v>
      </c>
      <c r="G54" s="100"/>
      <c r="H54" s="58">
        <v>62</v>
      </c>
      <c r="I54" s="58">
        <v>54</v>
      </c>
      <c r="J54" s="50">
        <f t="shared" si="0"/>
        <v>116</v>
      </c>
      <c r="K54" s="58">
        <v>72</v>
      </c>
      <c r="L54" s="58">
        <v>60</v>
      </c>
      <c r="M54" s="50">
        <f t="shared" si="1"/>
        <v>132</v>
      </c>
      <c r="N54" s="58">
        <v>55</v>
      </c>
      <c r="O54" s="58">
        <v>38</v>
      </c>
      <c r="P54" s="50">
        <f t="shared" si="2"/>
        <v>93</v>
      </c>
      <c r="Q54" s="58">
        <v>54</v>
      </c>
      <c r="R54" s="58">
        <v>46</v>
      </c>
      <c r="S54" s="50">
        <f t="shared" si="3"/>
        <v>100</v>
      </c>
      <c r="T54" s="58">
        <v>74</v>
      </c>
      <c r="U54" s="58">
        <v>54</v>
      </c>
      <c r="V54" s="50">
        <f t="shared" si="4"/>
        <v>128</v>
      </c>
      <c r="W54" s="59">
        <v>38</v>
      </c>
      <c r="X54" s="59">
        <v>27</v>
      </c>
      <c r="Y54" s="50">
        <f t="shared" si="5"/>
        <v>65</v>
      </c>
      <c r="Z54" s="58">
        <v>20</v>
      </c>
      <c r="AA54" s="58">
        <v>22</v>
      </c>
      <c r="AB54" s="50">
        <f t="shared" si="6"/>
        <v>42</v>
      </c>
      <c r="AC54" s="59">
        <v>21</v>
      </c>
      <c r="AD54" s="59">
        <v>21</v>
      </c>
      <c r="AE54" s="50">
        <f t="shared" si="7"/>
        <v>42</v>
      </c>
      <c r="AF54" s="58">
        <v>21</v>
      </c>
      <c r="AG54" s="59">
        <v>22</v>
      </c>
      <c r="AH54" s="50">
        <f t="shared" si="8"/>
        <v>43</v>
      </c>
      <c r="AI54" s="58">
        <v>24</v>
      </c>
      <c r="AJ54" s="58">
        <v>23</v>
      </c>
      <c r="AK54" s="50">
        <f t="shared" si="9"/>
        <v>47</v>
      </c>
      <c r="AL54" s="50">
        <v>44</v>
      </c>
      <c r="AM54" s="74">
        <f t="shared" si="10"/>
        <v>808</v>
      </c>
      <c r="AN54" s="41" t="s">
        <v>556</v>
      </c>
      <c r="AO54" s="119"/>
    </row>
    <row r="55" spans="1:41" s="117" customFormat="1" ht="100.5" customHeight="1" x14ac:dyDescent="0.4">
      <c r="A55" s="137">
        <v>48</v>
      </c>
      <c r="B55" s="125">
        <v>180090107050</v>
      </c>
      <c r="C55" s="70">
        <v>180000100276</v>
      </c>
      <c r="D55" s="103">
        <v>180551</v>
      </c>
      <c r="E55" s="146" t="s">
        <v>440</v>
      </c>
      <c r="F55" s="138" t="s">
        <v>441</v>
      </c>
      <c r="G55" s="100"/>
      <c r="H55" s="58">
        <v>72</v>
      </c>
      <c r="I55" s="58">
        <v>59</v>
      </c>
      <c r="J55" s="50">
        <f t="shared" si="0"/>
        <v>131</v>
      </c>
      <c r="K55" s="58">
        <v>78</v>
      </c>
      <c r="L55" s="58">
        <v>53</v>
      </c>
      <c r="M55" s="50">
        <f t="shared" si="1"/>
        <v>131</v>
      </c>
      <c r="N55" s="58">
        <v>50</v>
      </c>
      <c r="O55" s="58">
        <v>41</v>
      </c>
      <c r="P55" s="50">
        <f t="shared" si="2"/>
        <v>91</v>
      </c>
      <c r="Q55" s="58">
        <v>66</v>
      </c>
      <c r="R55" s="58">
        <v>49</v>
      </c>
      <c r="S55" s="50">
        <f t="shared" si="3"/>
        <v>115</v>
      </c>
      <c r="T55" s="58">
        <v>75</v>
      </c>
      <c r="U55" s="58">
        <v>56</v>
      </c>
      <c r="V55" s="50">
        <f t="shared" si="4"/>
        <v>131</v>
      </c>
      <c r="W55" s="59">
        <v>46</v>
      </c>
      <c r="X55" s="59">
        <v>35</v>
      </c>
      <c r="Y55" s="50">
        <f t="shared" si="5"/>
        <v>81</v>
      </c>
      <c r="Z55" s="58">
        <v>20</v>
      </c>
      <c r="AA55" s="58">
        <v>22</v>
      </c>
      <c r="AB55" s="50">
        <f t="shared" si="6"/>
        <v>42</v>
      </c>
      <c r="AC55" s="59">
        <v>16</v>
      </c>
      <c r="AD55" s="59">
        <v>15</v>
      </c>
      <c r="AE55" s="50">
        <f t="shared" si="7"/>
        <v>31</v>
      </c>
      <c r="AF55" s="58">
        <v>23</v>
      </c>
      <c r="AG55" s="59">
        <v>20</v>
      </c>
      <c r="AH55" s="50">
        <f t="shared" si="8"/>
        <v>43</v>
      </c>
      <c r="AI55" s="58">
        <v>23</v>
      </c>
      <c r="AJ55" s="58">
        <v>22</v>
      </c>
      <c r="AK55" s="50">
        <f t="shared" si="9"/>
        <v>45</v>
      </c>
      <c r="AL55" s="50">
        <v>50</v>
      </c>
      <c r="AM55" s="74">
        <f t="shared" si="10"/>
        <v>841</v>
      </c>
      <c r="AN55" s="41" t="s">
        <v>556</v>
      </c>
      <c r="AO55" s="42"/>
    </row>
    <row r="56" spans="1:41" s="117" customFormat="1" ht="100.5" customHeight="1" x14ac:dyDescent="0.4">
      <c r="A56" s="137">
        <v>49</v>
      </c>
      <c r="B56" s="125">
        <v>180090107051</v>
      </c>
      <c r="C56" s="70">
        <v>180000100277</v>
      </c>
      <c r="D56" s="103">
        <v>180552</v>
      </c>
      <c r="E56" s="144" t="s">
        <v>442</v>
      </c>
      <c r="F56" s="98" t="s">
        <v>36</v>
      </c>
      <c r="G56" s="100"/>
      <c r="H56" s="58">
        <v>64</v>
      </c>
      <c r="I56" s="58">
        <v>56</v>
      </c>
      <c r="J56" s="50">
        <f t="shared" si="0"/>
        <v>120</v>
      </c>
      <c r="K56" s="58">
        <v>57</v>
      </c>
      <c r="L56" s="58">
        <v>52</v>
      </c>
      <c r="M56" s="50">
        <f t="shared" si="1"/>
        <v>109</v>
      </c>
      <c r="N56" s="58">
        <v>59</v>
      </c>
      <c r="O56" s="58">
        <v>39</v>
      </c>
      <c r="P56" s="50">
        <f t="shared" si="2"/>
        <v>98</v>
      </c>
      <c r="Q56" s="58">
        <v>38</v>
      </c>
      <c r="R56" s="58">
        <v>30</v>
      </c>
      <c r="S56" s="50">
        <f t="shared" si="3"/>
        <v>68</v>
      </c>
      <c r="T56" s="58">
        <v>73</v>
      </c>
      <c r="U56" s="58">
        <v>56</v>
      </c>
      <c r="V56" s="50">
        <f t="shared" si="4"/>
        <v>129</v>
      </c>
      <c r="W56" s="59">
        <v>42</v>
      </c>
      <c r="X56" s="59">
        <v>29</v>
      </c>
      <c r="Y56" s="50">
        <f t="shared" si="5"/>
        <v>71</v>
      </c>
      <c r="Z56" s="58">
        <v>23</v>
      </c>
      <c r="AA56" s="58">
        <v>23</v>
      </c>
      <c r="AB56" s="50">
        <f t="shared" si="6"/>
        <v>46</v>
      </c>
      <c r="AC56" s="59">
        <v>23</v>
      </c>
      <c r="AD56" s="59">
        <v>23</v>
      </c>
      <c r="AE56" s="50">
        <f t="shared" si="7"/>
        <v>46</v>
      </c>
      <c r="AF56" s="58">
        <v>22</v>
      </c>
      <c r="AG56" s="59">
        <v>21</v>
      </c>
      <c r="AH56" s="50">
        <f t="shared" si="8"/>
        <v>43</v>
      </c>
      <c r="AI56" s="58">
        <v>18</v>
      </c>
      <c r="AJ56" s="58">
        <v>18</v>
      </c>
      <c r="AK56" s="50">
        <f t="shared" si="9"/>
        <v>36</v>
      </c>
      <c r="AL56" s="159">
        <v>50</v>
      </c>
      <c r="AM56" s="74">
        <f t="shared" si="10"/>
        <v>766</v>
      </c>
      <c r="AN56" s="41" t="s">
        <v>556</v>
      </c>
      <c r="AO56" s="119"/>
    </row>
    <row r="57" spans="1:41" s="117" customFormat="1" ht="100.5" customHeight="1" x14ac:dyDescent="0.4">
      <c r="A57" s="137">
        <v>50</v>
      </c>
      <c r="B57" s="125">
        <v>180090107052</v>
      </c>
      <c r="C57" s="70">
        <v>180000100278</v>
      </c>
      <c r="D57" s="103">
        <v>180553</v>
      </c>
      <c r="E57" s="145" t="s">
        <v>443</v>
      </c>
      <c r="F57" s="95" t="s">
        <v>444</v>
      </c>
      <c r="G57" s="100"/>
      <c r="H57" s="58">
        <v>68</v>
      </c>
      <c r="I57" s="58">
        <v>59</v>
      </c>
      <c r="J57" s="50">
        <f t="shared" si="0"/>
        <v>127</v>
      </c>
      <c r="K57" s="58">
        <v>86</v>
      </c>
      <c r="L57" s="58">
        <v>56</v>
      </c>
      <c r="M57" s="50">
        <f t="shared" si="1"/>
        <v>142</v>
      </c>
      <c r="N57" s="58">
        <v>57</v>
      </c>
      <c r="O57" s="58">
        <v>40</v>
      </c>
      <c r="P57" s="50">
        <f t="shared" si="2"/>
        <v>97</v>
      </c>
      <c r="Q57" s="58">
        <v>62</v>
      </c>
      <c r="R57" s="58">
        <v>49</v>
      </c>
      <c r="S57" s="50">
        <f t="shared" si="3"/>
        <v>111</v>
      </c>
      <c r="T57" s="58">
        <v>75</v>
      </c>
      <c r="U57" s="58">
        <v>59</v>
      </c>
      <c r="V57" s="50">
        <f t="shared" si="4"/>
        <v>134</v>
      </c>
      <c r="W57" s="59">
        <v>48</v>
      </c>
      <c r="X57" s="59">
        <v>35</v>
      </c>
      <c r="Y57" s="50">
        <f t="shared" si="5"/>
        <v>83</v>
      </c>
      <c r="Z57" s="58">
        <v>23</v>
      </c>
      <c r="AA57" s="58">
        <v>23</v>
      </c>
      <c r="AB57" s="50">
        <f t="shared" si="6"/>
        <v>46</v>
      </c>
      <c r="AC57" s="59">
        <v>17</v>
      </c>
      <c r="AD57" s="59">
        <v>17</v>
      </c>
      <c r="AE57" s="50">
        <f t="shared" si="7"/>
        <v>34</v>
      </c>
      <c r="AF57" s="58">
        <v>23</v>
      </c>
      <c r="AG57" s="59">
        <v>21</v>
      </c>
      <c r="AH57" s="50">
        <f t="shared" si="8"/>
        <v>44</v>
      </c>
      <c r="AI57" s="161">
        <v>24</v>
      </c>
      <c r="AJ57" s="58">
        <v>23</v>
      </c>
      <c r="AK57" s="50">
        <f t="shared" si="9"/>
        <v>47</v>
      </c>
      <c r="AL57" s="50">
        <v>50</v>
      </c>
      <c r="AM57" s="74">
        <f t="shared" si="10"/>
        <v>865</v>
      </c>
      <c r="AN57" s="41" t="s">
        <v>556</v>
      </c>
      <c r="AO57" s="42"/>
    </row>
    <row r="58" spans="1:41" s="117" customFormat="1" ht="100.5" customHeight="1" x14ac:dyDescent="0.4">
      <c r="A58" s="137">
        <v>51</v>
      </c>
      <c r="B58" s="125">
        <v>180090107053</v>
      </c>
      <c r="C58" s="70">
        <v>180000100279</v>
      </c>
      <c r="D58" s="103">
        <v>180554</v>
      </c>
      <c r="E58" s="145" t="s">
        <v>445</v>
      </c>
      <c r="F58" s="95" t="s">
        <v>446</v>
      </c>
      <c r="G58" s="100"/>
      <c r="H58" s="58">
        <v>68</v>
      </c>
      <c r="I58" s="58">
        <v>57</v>
      </c>
      <c r="J58" s="50">
        <f t="shared" si="0"/>
        <v>125</v>
      </c>
      <c r="K58" s="58">
        <v>75</v>
      </c>
      <c r="L58" s="58">
        <v>32</v>
      </c>
      <c r="M58" s="50">
        <f t="shared" si="1"/>
        <v>107</v>
      </c>
      <c r="N58" s="58">
        <v>59</v>
      </c>
      <c r="O58" s="58">
        <v>39</v>
      </c>
      <c r="P58" s="50">
        <f t="shared" si="2"/>
        <v>98</v>
      </c>
      <c r="Q58" s="58">
        <v>50</v>
      </c>
      <c r="R58" s="58">
        <v>29</v>
      </c>
      <c r="S58" s="50">
        <f t="shared" si="3"/>
        <v>79</v>
      </c>
      <c r="T58" s="58">
        <v>62</v>
      </c>
      <c r="U58" s="58">
        <v>57</v>
      </c>
      <c r="V58" s="50">
        <f t="shared" si="4"/>
        <v>119</v>
      </c>
      <c r="W58" s="59">
        <v>38</v>
      </c>
      <c r="X58" s="59">
        <v>31</v>
      </c>
      <c r="Y58" s="50">
        <f t="shared" si="5"/>
        <v>69</v>
      </c>
      <c r="Z58" s="58">
        <v>20</v>
      </c>
      <c r="AA58" s="58">
        <v>21</v>
      </c>
      <c r="AB58" s="50">
        <f t="shared" si="6"/>
        <v>41</v>
      </c>
      <c r="AC58" s="59">
        <v>16</v>
      </c>
      <c r="AD58" s="59">
        <v>16</v>
      </c>
      <c r="AE58" s="50">
        <f t="shared" si="7"/>
        <v>32</v>
      </c>
      <c r="AF58" s="58">
        <v>24</v>
      </c>
      <c r="AG58" s="59">
        <v>22</v>
      </c>
      <c r="AH58" s="50">
        <f t="shared" si="8"/>
        <v>46</v>
      </c>
      <c r="AI58" s="58">
        <v>20</v>
      </c>
      <c r="AJ58" s="58">
        <v>20</v>
      </c>
      <c r="AK58" s="50">
        <f t="shared" si="9"/>
        <v>40</v>
      </c>
      <c r="AL58" s="50">
        <v>44</v>
      </c>
      <c r="AM58" s="74">
        <f t="shared" si="10"/>
        <v>756</v>
      </c>
      <c r="AN58" s="41" t="s">
        <v>556</v>
      </c>
      <c r="AO58" s="119"/>
    </row>
    <row r="59" spans="1:41" s="117" customFormat="1" ht="100.5" customHeight="1" x14ac:dyDescent="0.4">
      <c r="A59" s="137">
        <v>52</v>
      </c>
      <c r="B59" s="125">
        <v>180090107054</v>
      </c>
      <c r="C59" s="70">
        <v>180000100280</v>
      </c>
      <c r="D59" s="103">
        <v>180555</v>
      </c>
      <c r="E59" s="147" t="s">
        <v>447</v>
      </c>
      <c r="F59" s="139" t="s">
        <v>448</v>
      </c>
      <c r="G59" s="100"/>
      <c r="H59" s="58">
        <v>76</v>
      </c>
      <c r="I59" s="58">
        <v>54</v>
      </c>
      <c r="J59" s="50">
        <f t="shared" si="0"/>
        <v>130</v>
      </c>
      <c r="K59" s="58">
        <v>90</v>
      </c>
      <c r="L59" s="58">
        <v>60</v>
      </c>
      <c r="M59" s="50">
        <f t="shared" si="1"/>
        <v>150</v>
      </c>
      <c r="N59" s="58">
        <v>58</v>
      </c>
      <c r="O59" s="58">
        <v>38</v>
      </c>
      <c r="P59" s="50">
        <f t="shared" si="2"/>
        <v>96</v>
      </c>
      <c r="Q59" s="58">
        <v>51</v>
      </c>
      <c r="R59" s="58">
        <v>46</v>
      </c>
      <c r="S59" s="50">
        <f t="shared" si="3"/>
        <v>97</v>
      </c>
      <c r="T59" s="58">
        <v>74</v>
      </c>
      <c r="U59" s="58">
        <v>54</v>
      </c>
      <c r="V59" s="50">
        <f t="shared" si="4"/>
        <v>128</v>
      </c>
      <c r="W59" s="59">
        <v>43</v>
      </c>
      <c r="X59" s="59">
        <v>36</v>
      </c>
      <c r="Y59" s="50">
        <f t="shared" si="5"/>
        <v>79</v>
      </c>
      <c r="Z59" s="58">
        <v>23</v>
      </c>
      <c r="AA59" s="58">
        <v>23</v>
      </c>
      <c r="AB59" s="50">
        <f t="shared" si="6"/>
        <v>46</v>
      </c>
      <c r="AC59" s="59">
        <v>17</v>
      </c>
      <c r="AD59" s="59">
        <v>17</v>
      </c>
      <c r="AE59" s="50">
        <f t="shared" si="7"/>
        <v>34</v>
      </c>
      <c r="AF59" s="58">
        <v>21</v>
      </c>
      <c r="AG59" s="59">
        <v>21</v>
      </c>
      <c r="AH59" s="50">
        <f t="shared" si="8"/>
        <v>42</v>
      </c>
      <c r="AI59" s="58">
        <v>22</v>
      </c>
      <c r="AJ59" s="58">
        <v>21</v>
      </c>
      <c r="AK59" s="50">
        <f t="shared" si="9"/>
        <v>43</v>
      </c>
      <c r="AL59" s="159">
        <v>48</v>
      </c>
      <c r="AM59" s="74">
        <f t="shared" si="10"/>
        <v>845</v>
      </c>
      <c r="AN59" s="41" t="s">
        <v>556</v>
      </c>
      <c r="AO59" s="42"/>
    </row>
    <row r="60" spans="1:41" s="117" customFormat="1" ht="100.5" customHeight="1" x14ac:dyDescent="0.4">
      <c r="A60" s="137">
        <v>53</v>
      </c>
      <c r="B60" s="125">
        <v>180090107055</v>
      </c>
      <c r="C60" s="70">
        <v>180000100281</v>
      </c>
      <c r="D60" s="103">
        <v>180556</v>
      </c>
      <c r="E60" s="144" t="s">
        <v>449</v>
      </c>
      <c r="F60" s="97" t="s">
        <v>450</v>
      </c>
      <c r="G60" s="140"/>
      <c r="H60" s="58">
        <v>59</v>
      </c>
      <c r="I60" s="58">
        <v>54</v>
      </c>
      <c r="J60" s="50">
        <f t="shared" si="0"/>
        <v>113</v>
      </c>
      <c r="K60" s="58">
        <v>78</v>
      </c>
      <c r="L60" s="58">
        <v>56</v>
      </c>
      <c r="M60" s="50">
        <f t="shared" si="1"/>
        <v>134</v>
      </c>
      <c r="N60" s="58">
        <v>56</v>
      </c>
      <c r="O60" s="58">
        <v>37</v>
      </c>
      <c r="P60" s="50">
        <f t="shared" si="2"/>
        <v>93</v>
      </c>
      <c r="Q60" s="58">
        <v>56</v>
      </c>
      <c r="R60" s="58">
        <v>29</v>
      </c>
      <c r="S60" s="50">
        <f t="shared" si="3"/>
        <v>85</v>
      </c>
      <c r="T60" s="58">
        <v>73</v>
      </c>
      <c r="U60" s="58">
        <v>54</v>
      </c>
      <c r="V60" s="50">
        <f t="shared" si="4"/>
        <v>127</v>
      </c>
      <c r="W60" s="59">
        <v>41</v>
      </c>
      <c r="X60" s="59">
        <v>33</v>
      </c>
      <c r="Y60" s="50">
        <f t="shared" si="5"/>
        <v>74</v>
      </c>
      <c r="Z60" s="58">
        <v>20</v>
      </c>
      <c r="AA60" s="58">
        <v>22</v>
      </c>
      <c r="AB60" s="50">
        <f t="shared" si="6"/>
        <v>42</v>
      </c>
      <c r="AC60" s="59">
        <v>20</v>
      </c>
      <c r="AD60" s="59">
        <v>20</v>
      </c>
      <c r="AE60" s="50">
        <f t="shared" si="7"/>
        <v>40</v>
      </c>
      <c r="AF60" s="58">
        <v>23</v>
      </c>
      <c r="AG60" s="59">
        <v>20</v>
      </c>
      <c r="AH60" s="50">
        <f t="shared" si="8"/>
        <v>43</v>
      </c>
      <c r="AI60" s="58">
        <v>20</v>
      </c>
      <c r="AJ60" s="58">
        <v>20</v>
      </c>
      <c r="AK60" s="50">
        <f t="shared" si="9"/>
        <v>40</v>
      </c>
      <c r="AL60" s="50">
        <v>44</v>
      </c>
      <c r="AM60" s="74">
        <f t="shared" si="10"/>
        <v>791</v>
      </c>
      <c r="AN60" s="41" t="s">
        <v>556</v>
      </c>
      <c r="AO60" s="42"/>
    </row>
    <row r="61" spans="1:41" s="117" customFormat="1" ht="100.5" customHeight="1" x14ac:dyDescent="0.4">
      <c r="A61" s="137">
        <v>54</v>
      </c>
      <c r="B61" s="125">
        <v>180090107056</v>
      </c>
      <c r="C61" s="70">
        <v>180000100282</v>
      </c>
      <c r="D61" s="103">
        <v>180557</v>
      </c>
      <c r="E61" s="144" t="s">
        <v>451</v>
      </c>
      <c r="F61" s="97" t="s">
        <v>452</v>
      </c>
      <c r="G61" s="140"/>
      <c r="H61" s="58">
        <v>57</v>
      </c>
      <c r="I61" s="58">
        <v>59</v>
      </c>
      <c r="J61" s="50">
        <f t="shared" si="0"/>
        <v>116</v>
      </c>
      <c r="K61" s="58">
        <v>63</v>
      </c>
      <c r="L61" s="58">
        <v>29</v>
      </c>
      <c r="M61" s="50">
        <f t="shared" si="1"/>
        <v>92</v>
      </c>
      <c r="N61" s="58">
        <v>57</v>
      </c>
      <c r="O61" s="58">
        <v>39</v>
      </c>
      <c r="P61" s="50">
        <f t="shared" si="2"/>
        <v>96</v>
      </c>
      <c r="Q61" s="58">
        <v>48</v>
      </c>
      <c r="R61" s="58">
        <v>43</v>
      </c>
      <c r="S61" s="50">
        <f t="shared" si="3"/>
        <v>91</v>
      </c>
      <c r="T61" s="58">
        <v>73</v>
      </c>
      <c r="U61" s="58">
        <v>59</v>
      </c>
      <c r="V61" s="50">
        <f t="shared" si="4"/>
        <v>132</v>
      </c>
      <c r="W61" s="59">
        <v>30</v>
      </c>
      <c r="X61" s="59">
        <v>18</v>
      </c>
      <c r="Y61" s="50">
        <f t="shared" si="5"/>
        <v>48</v>
      </c>
      <c r="Z61" s="58">
        <v>23</v>
      </c>
      <c r="AA61" s="58">
        <v>23</v>
      </c>
      <c r="AB61" s="50">
        <f t="shared" si="6"/>
        <v>46</v>
      </c>
      <c r="AC61" s="59">
        <v>15</v>
      </c>
      <c r="AD61" s="59">
        <v>15</v>
      </c>
      <c r="AE61" s="50">
        <f t="shared" si="7"/>
        <v>30</v>
      </c>
      <c r="AF61" s="58">
        <v>21</v>
      </c>
      <c r="AG61" s="59">
        <v>19</v>
      </c>
      <c r="AH61" s="50">
        <f t="shared" si="8"/>
        <v>40</v>
      </c>
      <c r="AI61" s="58">
        <v>20</v>
      </c>
      <c r="AJ61" s="58">
        <v>18</v>
      </c>
      <c r="AK61" s="50">
        <f t="shared" si="9"/>
        <v>38</v>
      </c>
      <c r="AL61" s="50">
        <v>48</v>
      </c>
      <c r="AM61" s="74">
        <f t="shared" si="10"/>
        <v>729</v>
      </c>
      <c r="AN61" s="41" t="s">
        <v>556</v>
      </c>
      <c r="AO61" s="119"/>
    </row>
    <row r="62" spans="1:41" s="117" customFormat="1" ht="100.5" customHeight="1" x14ac:dyDescent="0.4">
      <c r="A62" s="137">
        <v>55</v>
      </c>
      <c r="B62" s="125">
        <v>180090107057</v>
      </c>
      <c r="C62" s="70">
        <v>180000100283</v>
      </c>
      <c r="D62" s="103">
        <v>180558</v>
      </c>
      <c r="E62" s="144" t="s">
        <v>453</v>
      </c>
      <c r="F62" s="97" t="s">
        <v>454</v>
      </c>
      <c r="G62" s="140"/>
      <c r="H62" s="58">
        <v>70</v>
      </c>
      <c r="I62" s="58">
        <v>59</v>
      </c>
      <c r="J62" s="50">
        <f t="shared" si="0"/>
        <v>129</v>
      </c>
      <c r="K62" s="58">
        <v>86</v>
      </c>
      <c r="L62" s="58">
        <v>60</v>
      </c>
      <c r="M62" s="50">
        <f t="shared" si="1"/>
        <v>146</v>
      </c>
      <c r="N62" s="58">
        <v>51</v>
      </c>
      <c r="O62" s="58">
        <v>40</v>
      </c>
      <c r="P62" s="50">
        <f t="shared" si="2"/>
        <v>91</v>
      </c>
      <c r="Q62" s="58">
        <v>65</v>
      </c>
      <c r="R62" s="58">
        <v>53</v>
      </c>
      <c r="S62" s="50">
        <f t="shared" si="3"/>
        <v>118</v>
      </c>
      <c r="T62" s="58">
        <v>76</v>
      </c>
      <c r="U62" s="58">
        <v>59</v>
      </c>
      <c r="V62" s="50">
        <f t="shared" si="4"/>
        <v>135</v>
      </c>
      <c r="W62" s="59">
        <v>49</v>
      </c>
      <c r="X62" s="59">
        <v>35</v>
      </c>
      <c r="Y62" s="50">
        <f t="shared" si="5"/>
        <v>84</v>
      </c>
      <c r="Z62" s="58">
        <v>23</v>
      </c>
      <c r="AA62" s="58">
        <v>23</v>
      </c>
      <c r="AB62" s="50">
        <f t="shared" si="6"/>
        <v>46</v>
      </c>
      <c r="AC62" s="59">
        <v>15</v>
      </c>
      <c r="AD62" s="59">
        <v>15</v>
      </c>
      <c r="AE62" s="50">
        <f t="shared" si="7"/>
        <v>30</v>
      </c>
      <c r="AF62" s="58">
        <v>24</v>
      </c>
      <c r="AG62" s="59">
        <v>24</v>
      </c>
      <c r="AH62" s="50">
        <f t="shared" si="8"/>
        <v>48</v>
      </c>
      <c r="AI62" s="58">
        <v>23</v>
      </c>
      <c r="AJ62" s="58">
        <v>22</v>
      </c>
      <c r="AK62" s="50">
        <f t="shared" si="9"/>
        <v>45</v>
      </c>
      <c r="AL62" s="159">
        <v>50</v>
      </c>
      <c r="AM62" s="74">
        <f t="shared" si="10"/>
        <v>872</v>
      </c>
      <c r="AN62" s="41" t="s">
        <v>556</v>
      </c>
      <c r="AO62" s="42"/>
    </row>
    <row r="63" spans="1:41" s="117" customFormat="1" ht="100.5" customHeight="1" x14ac:dyDescent="0.4">
      <c r="A63" s="137">
        <v>56</v>
      </c>
      <c r="B63" s="125">
        <v>180090107058</v>
      </c>
      <c r="C63" s="70">
        <v>180000100284</v>
      </c>
      <c r="D63" s="103">
        <v>180559</v>
      </c>
      <c r="E63" s="144" t="s">
        <v>455</v>
      </c>
      <c r="F63" s="97" t="s">
        <v>456</v>
      </c>
      <c r="G63" s="140"/>
      <c r="H63" s="58">
        <v>64</v>
      </c>
      <c r="I63" s="58">
        <v>59</v>
      </c>
      <c r="J63" s="50">
        <f t="shared" si="0"/>
        <v>123</v>
      </c>
      <c r="K63" s="58">
        <v>69</v>
      </c>
      <c r="L63" s="58">
        <v>54</v>
      </c>
      <c r="M63" s="50">
        <f t="shared" si="1"/>
        <v>123</v>
      </c>
      <c r="N63" s="58">
        <v>60</v>
      </c>
      <c r="O63" s="58">
        <v>41</v>
      </c>
      <c r="P63" s="50">
        <f t="shared" si="2"/>
        <v>101</v>
      </c>
      <c r="Q63" s="58">
        <v>54</v>
      </c>
      <c r="R63" s="58">
        <v>49</v>
      </c>
      <c r="S63" s="50">
        <f t="shared" si="3"/>
        <v>103</v>
      </c>
      <c r="T63" s="58">
        <v>72</v>
      </c>
      <c r="U63" s="58">
        <v>59</v>
      </c>
      <c r="V63" s="50">
        <f t="shared" si="4"/>
        <v>131</v>
      </c>
      <c r="W63" s="59">
        <v>40</v>
      </c>
      <c r="X63" s="59">
        <v>29</v>
      </c>
      <c r="Y63" s="50">
        <f t="shared" si="5"/>
        <v>69</v>
      </c>
      <c r="Z63" s="58">
        <v>20</v>
      </c>
      <c r="AA63" s="58">
        <v>22</v>
      </c>
      <c r="AB63" s="50">
        <f t="shared" si="6"/>
        <v>42</v>
      </c>
      <c r="AC63" s="59">
        <v>18</v>
      </c>
      <c r="AD63" s="59">
        <v>18</v>
      </c>
      <c r="AE63" s="50">
        <f t="shared" si="7"/>
        <v>36</v>
      </c>
      <c r="AF63" s="58">
        <v>22</v>
      </c>
      <c r="AG63" s="59">
        <v>21</v>
      </c>
      <c r="AH63" s="50">
        <f t="shared" si="8"/>
        <v>43</v>
      </c>
      <c r="AI63" s="58">
        <v>20</v>
      </c>
      <c r="AJ63" s="58">
        <v>20</v>
      </c>
      <c r="AK63" s="50">
        <f t="shared" si="9"/>
        <v>40</v>
      </c>
      <c r="AL63" s="50">
        <v>44</v>
      </c>
      <c r="AM63" s="74">
        <f t="shared" si="10"/>
        <v>811</v>
      </c>
      <c r="AN63" s="41" t="s">
        <v>556</v>
      </c>
      <c r="AO63" s="42"/>
    </row>
    <row r="64" spans="1:41" s="117" customFormat="1" ht="100.5" customHeight="1" x14ac:dyDescent="0.4">
      <c r="A64" s="137">
        <v>57</v>
      </c>
      <c r="B64" s="125">
        <v>180090107059</v>
      </c>
      <c r="C64" s="70">
        <v>180000100285</v>
      </c>
      <c r="D64" s="103">
        <v>180560</v>
      </c>
      <c r="E64" s="144" t="s">
        <v>457</v>
      </c>
      <c r="F64" s="97" t="s">
        <v>458</v>
      </c>
      <c r="G64" s="140"/>
      <c r="H64" s="58">
        <v>75</v>
      </c>
      <c r="I64" s="58">
        <v>59</v>
      </c>
      <c r="J64" s="50">
        <f t="shared" si="0"/>
        <v>134</v>
      </c>
      <c r="K64" s="58">
        <v>78</v>
      </c>
      <c r="L64" s="58">
        <v>51</v>
      </c>
      <c r="M64" s="50">
        <f t="shared" si="1"/>
        <v>129</v>
      </c>
      <c r="N64" s="58">
        <v>59</v>
      </c>
      <c r="O64" s="58">
        <v>37</v>
      </c>
      <c r="P64" s="50">
        <f t="shared" si="2"/>
        <v>96</v>
      </c>
      <c r="Q64" s="58">
        <v>47</v>
      </c>
      <c r="R64" s="58">
        <v>45</v>
      </c>
      <c r="S64" s="50">
        <f t="shared" si="3"/>
        <v>92</v>
      </c>
      <c r="T64" s="58">
        <v>72</v>
      </c>
      <c r="U64" s="58">
        <v>59</v>
      </c>
      <c r="V64" s="50">
        <f t="shared" si="4"/>
        <v>131</v>
      </c>
      <c r="W64" s="59">
        <v>46</v>
      </c>
      <c r="X64" s="59">
        <v>35</v>
      </c>
      <c r="Y64" s="50">
        <f t="shared" si="5"/>
        <v>81</v>
      </c>
      <c r="Z64" s="58">
        <v>23</v>
      </c>
      <c r="AA64" s="58">
        <v>23</v>
      </c>
      <c r="AB64" s="50">
        <f t="shared" si="6"/>
        <v>46</v>
      </c>
      <c r="AC64" s="59">
        <v>21</v>
      </c>
      <c r="AD64" s="59">
        <v>20</v>
      </c>
      <c r="AE64" s="50">
        <f t="shared" si="7"/>
        <v>41</v>
      </c>
      <c r="AF64" s="58">
        <v>22</v>
      </c>
      <c r="AG64" s="59">
        <v>20</v>
      </c>
      <c r="AH64" s="50">
        <f t="shared" si="8"/>
        <v>42</v>
      </c>
      <c r="AI64" s="58">
        <v>24</v>
      </c>
      <c r="AJ64" s="58">
        <v>23</v>
      </c>
      <c r="AK64" s="50">
        <f t="shared" si="9"/>
        <v>47</v>
      </c>
      <c r="AL64" s="50">
        <v>50</v>
      </c>
      <c r="AM64" s="74">
        <f t="shared" si="10"/>
        <v>839</v>
      </c>
      <c r="AN64" s="41" t="s">
        <v>556</v>
      </c>
      <c r="AO64" s="42"/>
    </row>
    <row r="65" spans="1:41" s="117" customFormat="1" ht="100.5" customHeight="1" x14ac:dyDescent="0.4">
      <c r="A65" s="137">
        <v>58</v>
      </c>
      <c r="B65" s="125">
        <v>180090107060</v>
      </c>
      <c r="C65" s="70">
        <v>180000100286</v>
      </c>
      <c r="D65" s="103">
        <v>180561</v>
      </c>
      <c r="E65" s="144" t="s">
        <v>459</v>
      </c>
      <c r="F65" s="97" t="s">
        <v>460</v>
      </c>
      <c r="G65" s="108"/>
      <c r="H65" s="58">
        <v>72</v>
      </c>
      <c r="I65" s="58">
        <v>59</v>
      </c>
      <c r="J65" s="50">
        <f t="shared" si="0"/>
        <v>131</v>
      </c>
      <c r="K65" s="58">
        <v>80</v>
      </c>
      <c r="L65" s="58">
        <v>58</v>
      </c>
      <c r="M65" s="50">
        <f t="shared" si="1"/>
        <v>138</v>
      </c>
      <c r="N65" s="162">
        <v>58</v>
      </c>
      <c r="O65" s="58">
        <v>38</v>
      </c>
      <c r="P65" s="50">
        <f t="shared" si="2"/>
        <v>96</v>
      </c>
      <c r="Q65" s="58">
        <v>60</v>
      </c>
      <c r="R65" s="58">
        <v>37</v>
      </c>
      <c r="S65" s="50">
        <f t="shared" si="3"/>
        <v>97</v>
      </c>
      <c r="T65" s="58">
        <v>75</v>
      </c>
      <c r="U65" s="58">
        <v>59</v>
      </c>
      <c r="V65" s="50">
        <f t="shared" si="4"/>
        <v>134</v>
      </c>
      <c r="W65" s="59">
        <v>46</v>
      </c>
      <c r="X65" s="59">
        <v>35</v>
      </c>
      <c r="Y65" s="50">
        <f t="shared" si="5"/>
        <v>81</v>
      </c>
      <c r="Z65" s="58">
        <v>23</v>
      </c>
      <c r="AA65" s="58">
        <v>23</v>
      </c>
      <c r="AB65" s="50">
        <f t="shared" si="6"/>
        <v>46</v>
      </c>
      <c r="AC65" s="59">
        <v>15</v>
      </c>
      <c r="AD65" s="59">
        <v>15</v>
      </c>
      <c r="AE65" s="50">
        <f t="shared" si="7"/>
        <v>30</v>
      </c>
      <c r="AF65" s="58">
        <v>21</v>
      </c>
      <c r="AG65" s="59">
        <v>20</v>
      </c>
      <c r="AH65" s="50">
        <f t="shared" si="8"/>
        <v>41</v>
      </c>
      <c r="AI65" s="58">
        <v>24</v>
      </c>
      <c r="AJ65" s="58">
        <v>23</v>
      </c>
      <c r="AK65" s="50">
        <f t="shared" si="9"/>
        <v>47</v>
      </c>
      <c r="AL65" s="159">
        <v>47</v>
      </c>
      <c r="AM65" s="74">
        <f t="shared" si="10"/>
        <v>841</v>
      </c>
      <c r="AN65" s="41" t="s">
        <v>556</v>
      </c>
      <c r="AO65" s="42"/>
    </row>
    <row r="66" spans="1:41" s="117" customFormat="1" ht="100.5" customHeight="1" x14ac:dyDescent="0.4">
      <c r="A66" s="137">
        <v>59</v>
      </c>
      <c r="B66" s="143">
        <v>690090107001</v>
      </c>
      <c r="C66" s="69">
        <v>690090100336</v>
      </c>
      <c r="D66" s="141">
        <v>192502</v>
      </c>
      <c r="E66" s="148" t="s">
        <v>507</v>
      </c>
      <c r="F66" s="75" t="s">
        <v>508</v>
      </c>
      <c r="G66" s="142"/>
      <c r="H66" s="58">
        <v>78</v>
      </c>
      <c r="I66" s="162">
        <v>56</v>
      </c>
      <c r="J66" s="50">
        <f t="shared" si="0"/>
        <v>134</v>
      </c>
      <c r="K66" s="58">
        <v>71</v>
      </c>
      <c r="L66" s="58">
        <v>59</v>
      </c>
      <c r="M66" s="50">
        <f t="shared" si="1"/>
        <v>130</v>
      </c>
      <c r="N66" s="162">
        <v>58</v>
      </c>
      <c r="O66" s="162">
        <v>37</v>
      </c>
      <c r="P66" s="50">
        <f t="shared" si="2"/>
        <v>95</v>
      </c>
      <c r="Q66" s="58">
        <v>59</v>
      </c>
      <c r="R66" s="162">
        <v>53</v>
      </c>
      <c r="S66" s="50">
        <f t="shared" si="3"/>
        <v>112</v>
      </c>
      <c r="T66" s="58">
        <v>76</v>
      </c>
      <c r="U66" s="162">
        <v>56</v>
      </c>
      <c r="V66" s="50">
        <f t="shared" si="4"/>
        <v>132</v>
      </c>
      <c r="W66" s="59">
        <v>46</v>
      </c>
      <c r="X66" s="59">
        <v>36</v>
      </c>
      <c r="Y66" s="50">
        <f t="shared" si="5"/>
        <v>82</v>
      </c>
      <c r="Z66" s="58">
        <v>23</v>
      </c>
      <c r="AA66" s="162">
        <v>23</v>
      </c>
      <c r="AB66" s="50">
        <f t="shared" si="6"/>
        <v>46</v>
      </c>
      <c r="AC66" s="59">
        <v>23</v>
      </c>
      <c r="AD66" s="59">
        <v>23</v>
      </c>
      <c r="AE66" s="50">
        <f t="shared" si="7"/>
        <v>46</v>
      </c>
      <c r="AF66" s="58">
        <v>24</v>
      </c>
      <c r="AG66" s="162">
        <v>23</v>
      </c>
      <c r="AH66" s="50">
        <f t="shared" si="8"/>
        <v>47</v>
      </c>
      <c r="AI66" s="58">
        <v>24</v>
      </c>
      <c r="AJ66" s="58">
        <v>23</v>
      </c>
      <c r="AK66" s="50">
        <f t="shared" si="9"/>
        <v>47</v>
      </c>
      <c r="AL66" s="61">
        <v>47</v>
      </c>
      <c r="AM66" s="74">
        <f t="shared" si="10"/>
        <v>871</v>
      </c>
      <c r="AN66" s="41" t="s">
        <v>556</v>
      </c>
      <c r="AO66" s="119"/>
    </row>
    <row r="67" spans="1:41" s="117" customFormat="1" ht="100.5" customHeight="1" x14ac:dyDescent="0.4">
      <c r="A67" s="137">
        <v>60</v>
      </c>
      <c r="B67" s="143">
        <v>690090107002</v>
      </c>
      <c r="C67" s="69">
        <v>690090100337</v>
      </c>
      <c r="D67" s="141">
        <v>192503</v>
      </c>
      <c r="E67" s="148" t="s">
        <v>509</v>
      </c>
      <c r="F67" s="75" t="s">
        <v>510</v>
      </c>
      <c r="G67" s="142"/>
      <c r="H67" s="162">
        <v>73</v>
      </c>
      <c r="I67" s="162">
        <v>57</v>
      </c>
      <c r="J67" s="50">
        <f t="shared" si="0"/>
        <v>130</v>
      </c>
      <c r="K67" s="162">
        <v>83</v>
      </c>
      <c r="L67" s="58">
        <v>55</v>
      </c>
      <c r="M67" s="50">
        <f t="shared" si="1"/>
        <v>138</v>
      </c>
      <c r="N67" s="162">
        <v>59</v>
      </c>
      <c r="O67" s="162">
        <v>37</v>
      </c>
      <c r="P67" s="50">
        <f t="shared" si="2"/>
        <v>96</v>
      </c>
      <c r="Q67" s="162">
        <v>57</v>
      </c>
      <c r="R67" s="162">
        <v>38</v>
      </c>
      <c r="S67" s="50">
        <f t="shared" si="3"/>
        <v>95</v>
      </c>
      <c r="T67" s="162">
        <v>77</v>
      </c>
      <c r="U67" s="162">
        <v>57</v>
      </c>
      <c r="V67" s="50">
        <f t="shared" si="4"/>
        <v>134</v>
      </c>
      <c r="W67" s="59">
        <v>45</v>
      </c>
      <c r="X67" s="162">
        <v>33</v>
      </c>
      <c r="Y67" s="50">
        <f t="shared" si="5"/>
        <v>78</v>
      </c>
      <c r="Z67" s="162">
        <v>23</v>
      </c>
      <c r="AA67" s="162">
        <v>23</v>
      </c>
      <c r="AB67" s="50">
        <f t="shared" si="6"/>
        <v>46</v>
      </c>
      <c r="AC67" s="59">
        <v>22</v>
      </c>
      <c r="AD67" s="162">
        <v>22</v>
      </c>
      <c r="AE67" s="50">
        <f t="shared" si="7"/>
        <v>44</v>
      </c>
      <c r="AF67" s="162">
        <v>24</v>
      </c>
      <c r="AG67" s="162">
        <v>21</v>
      </c>
      <c r="AH67" s="50">
        <f t="shared" si="8"/>
        <v>45</v>
      </c>
      <c r="AI67" s="162">
        <v>24</v>
      </c>
      <c r="AJ67" s="162">
        <v>23</v>
      </c>
      <c r="AK67" s="50">
        <f t="shared" si="9"/>
        <v>47</v>
      </c>
      <c r="AL67" s="61">
        <v>47</v>
      </c>
      <c r="AM67" s="74">
        <f t="shared" si="10"/>
        <v>853</v>
      </c>
      <c r="AN67" s="41" t="s">
        <v>556</v>
      </c>
      <c r="AO67" s="119"/>
    </row>
    <row r="68" spans="1:41" s="117" customFormat="1" ht="100.5" customHeight="1" x14ac:dyDescent="0.4">
      <c r="A68" s="137">
        <v>61</v>
      </c>
      <c r="B68" s="143">
        <v>690090107003</v>
      </c>
      <c r="C68" s="69">
        <v>690090100338</v>
      </c>
      <c r="D68" s="141">
        <v>192504</v>
      </c>
      <c r="E68" s="148" t="s">
        <v>511</v>
      </c>
      <c r="F68" s="75" t="s">
        <v>512</v>
      </c>
      <c r="G68" s="142"/>
      <c r="H68" s="162">
        <v>45</v>
      </c>
      <c r="I68" s="162">
        <v>47</v>
      </c>
      <c r="J68" s="50">
        <f t="shared" si="0"/>
        <v>92</v>
      </c>
      <c r="K68" s="162">
        <v>59</v>
      </c>
      <c r="L68" s="162">
        <v>49</v>
      </c>
      <c r="M68" s="50">
        <f t="shared" si="1"/>
        <v>108</v>
      </c>
      <c r="N68" s="162">
        <v>50</v>
      </c>
      <c r="O68" s="162">
        <v>37</v>
      </c>
      <c r="P68" s="50">
        <f t="shared" si="2"/>
        <v>87</v>
      </c>
      <c r="Q68" s="162">
        <v>38</v>
      </c>
      <c r="R68" s="162">
        <v>31</v>
      </c>
      <c r="S68" s="50">
        <f t="shared" si="3"/>
        <v>69</v>
      </c>
      <c r="T68" s="162">
        <v>65</v>
      </c>
      <c r="U68" s="162">
        <v>47</v>
      </c>
      <c r="V68" s="50">
        <f t="shared" si="4"/>
        <v>112</v>
      </c>
      <c r="W68" s="162">
        <v>28</v>
      </c>
      <c r="X68" s="162">
        <v>30</v>
      </c>
      <c r="Y68" s="50">
        <f t="shared" si="5"/>
        <v>58</v>
      </c>
      <c r="Z68" s="162">
        <v>22</v>
      </c>
      <c r="AA68" s="162">
        <v>23</v>
      </c>
      <c r="AB68" s="50">
        <f t="shared" si="6"/>
        <v>45</v>
      </c>
      <c r="AC68" s="162">
        <v>15</v>
      </c>
      <c r="AD68" s="162">
        <v>15</v>
      </c>
      <c r="AE68" s="50">
        <f t="shared" si="7"/>
        <v>30</v>
      </c>
      <c r="AF68" s="162">
        <v>21</v>
      </c>
      <c r="AG68" s="162">
        <v>19</v>
      </c>
      <c r="AH68" s="50">
        <f t="shared" si="8"/>
        <v>40</v>
      </c>
      <c r="AI68" s="162">
        <v>23</v>
      </c>
      <c r="AJ68" s="162">
        <v>22</v>
      </c>
      <c r="AK68" s="50">
        <f t="shared" si="9"/>
        <v>45</v>
      </c>
      <c r="AL68" s="61">
        <v>47</v>
      </c>
      <c r="AM68" s="74">
        <f t="shared" si="10"/>
        <v>686</v>
      </c>
      <c r="AN68" s="41" t="s">
        <v>556</v>
      </c>
      <c r="AO68" s="119"/>
    </row>
    <row r="69" spans="1:41" s="117" customFormat="1" ht="100.5" customHeight="1" x14ac:dyDescent="0.4">
      <c r="A69" s="137">
        <v>62</v>
      </c>
      <c r="B69" s="143">
        <v>690090107004</v>
      </c>
      <c r="C69" s="69">
        <v>690090100339</v>
      </c>
      <c r="D69" s="141">
        <v>192505</v>
      </c>
      <c r="E69" s="148" t="s">
        <v>513</v>
      </c>
      <c r="F69" s="75" t="s">
        <v>514</v>
      </c>
      <c r="G69" s="142"/>
      <c r="H69" s="162">
        <v>59</v>
      </c>
      <c r="I69" s="162">
        <v>41</v>
      </c>
      <c r="J69" s="50">
        <f t="shared" si="0"/>
        <v>100</v>
      </c>
      <c r="K69" s="162">
        <v>63</v>
      </c>
      <c r="L69" s="162">
        <v>30</v>
      </c>
      <c r="M69" s="50">
        <f t="shared" si="1"/>
        <v>93</v>
      </c>
      <c r="N69" s="162">
        <v>47</v>
      </c>
      <c r="O69" s="162">
        <v>38</v>
      </c>
      <c r="P69" s="50">
        <f t="shared" si="2"/>
        <v>85</v>
      </c>
      <c r="Q69" s="162">
        <v>50</v>
      </c>
      <c r="R69" s="162">
        <v>26</v>
      </c>
      <c r="S69" s="50">
        <f t="shared" si="3"/>
        <v>76</v>
      </c>
      <c r="T69" s="162">
        <v>72</v>
      </c>
      <c r="U69" s="162">
        <v>41</v>
      </c>
      <c r="V69" s="50">
        <f t="shared" si="4"/>
        <v>113</v>
      </c>
      <c r="W69" s="162">
        <v>30</v>
      </c>
      <c r="X69" s="162">
        <v>30</v>
      </c>
      <c r="Y69" s="50">
        <f t="shared" si="5"/>
        <v>60</v>
      </c>
      <c r="Z69" s="162">
        <v>23</v>
      </c>
      <c r="AA69" s="162">
        <v>23</v>
      </c>
      <c r="AB69" s="50">
        <f t="shared" si="6"/>
        <v>46</v>
      </c>
      <c r="AC69" s="162">
        <v>15</v>
      </c>
      <c r="AD69" s="162">
        <v>15</v>
      </c>
      <c r="AE69" s="50">
        <f t="shared" si="7"/>
        <v>30</v>
      </c>
      <c r="AF69" s="162">
        <v>19</v>
      </c>
      <c r="AG69" s="162">
        <v>15</v>
      </c>
      <c r="AH69" s="50">
        <f t="shared" si="8"/>
        <v>34</v>
      </c>
      <c r="AI69" s="162">
        <v>18</v>
      </c>
      <c r="AJ69" s="162">
        <v>18</v>
      </c>
      <c r="AK69" s="50">
        <f t="shared" si="9"/>
        <v>36</v>
      </c>
      <c r="AL69" s="61">
        <v>46</v>
      </c>
      <c r="AM69" s="74">
        <f t="shared" si="10"/>
        <v>673</v>
      </c>
      <c r="AN69" s="41" t="s">
        <v>556</v>
      </c>
      <c r="AO69" s="42"/>
    </row>
    <row r="70" spans="1:41" s="117" customFormat="1" ht="100.5" customHeight="1" x14ac:dyDescent="0.4">
      <c r="A70" s="137">
        <v>63</v>
      </c>
      <c r="B70" s="143">
        <v>690090107005</v>
      </c>
      <c r="C70" s="69">
        <v>690090100340</v>
      </c>
      <c r="D70" s="141">
        <v>192506</v>
      </c>
      <c r="E70" s="148" t="s">
        <v>515</v>
      </c>
      <c r="F70" s="75" t="s">
        <v>516</v>
      </c>
      <c r="G70" s="142"/>
      <c r="H70" s="162">
        <v>67</v>
      </c>
      <c r="I70" s="162">
        <v>54</v>
      </c>
      <c r="J70" s="50">
        <f t="shared" si="0"/>
        <v>121</v>
      </c>
      <c r="K70" s="162">
        <v>60</v>
      </c>
      <c r="L70" s="162">
        <v>60</v>
      </c>
      <c r="M70" s="50">
        <f t="shared" si="1"/>
        <v>120</v>
      </c>
      <c r="N70" s="162">
        <v>57</v>
      </c>
      <c r="O70" s="162">
        <v>41</v>
      </c>
      <c r="P70" s="50">
        <f t="shared" si="2"/>
        <v>98</v>
      </c>
      <c r="Q70" s="162">
        <v>59</v>
      </c>
      <c r="R70" s="162">
        <v>43</v>
      </c>
      <c r="S70" s="50">
        <f t="shared" si="3"/>
        <v>102</v>
      </c>
      <c r="T70" s="162">
        <v>75</v>
      </c>
      <c r="U70" s="162">
        <v>54</v>
      </c>
      <c r="V70" s="50">
        <f t="shared" si="4"/>
        <v>129</v>
      </c>
      <c r="W70" s="162">
        <v>41</v>
      </c>
      <c r="X70" s="162">
        <v>33</v>
      </c>
      <c r="Y70" s="50">
        <f t="shared" si="5"/>
        <v>74</v>
      </c>
      <c r="Z70" s="162">
        <v>23</v>
      </c>
      <c r="AA70" s="162">
        <v>23</v>
      </c>
      <c r="AB70" s="50">
        <f t="shared" si="6"/>
        <v>46</v>
      </c>
      <c r="AC70" s="162">
        <v>21</v>
      </c>
      <c r="AD70" s="162">
        <v>21</v>
      </c>
      <c r="AE70" s="50">
        <f t="shared" si="7"/>
        <v>42</v>
      </c>
      <c r="AF70" s="162">
        <v>23</v>
      </c>
      <c r="AG70" s="162">
        <v>24</v>
      </c>
      <c r="AH70" s="50">
        <f t="shared" si="8"/>
        <v>47</v>
      </c>
      <c r="AI70" s="162">
        <v>22</v>
      </c>
      <c r="AJ70" s="162">
        <v>21</v>
      </c>
      <c r="AK70" s="50">
        <f t="shared" si="9"/>
        <v>43</v>
      </c>
      <c r="AL70" s="61">
        <v>50</v>
      </c>
      <c r="AM70" s="74">
        <f t="shared" si="10"/>
        <v>822</v>
      </c>
      <c r="AN70" s="41" t="s">
        <v>556</v>
      </c>
      <c r="AO70" s="119"/>
    </row>
    <row r="71" spans="1:41" s="117" customFormat="1" ht="100.5" customHeight="1" x14ac:dyDescent="0.4">
      <c r="A71" s="137">
        <v>64</v>
      </c>
      <c r="B71" s="143">
        <v>690090107006</v>
      </c>
      <c r="C71" s="69">
        <v>690090100341</v>
      </c>
      <c r="D71" s="141">
        <v>192507</v>
      </c>
      <c r="E71" s="148" t="s">
        <v>517</v>
      </c>
      <c r="F71" s="75" t="s">
        <v>518</v>
      </c>
      <c r="G71" s="142"/>
      <c r="H71" s="162">
        <v>76</v>
      </c>
      <c r="I71" s="162">
        <v>57</v>
      </c>
      <c r="J71" s="50">
        <f t="shared" si="0"/>
        <v>133</v>
      </c>
      <c r="K71" s="162">
        <v>87</v>
      </c>
      <c r="L71" s="162">
        <v>60</v>
      </c>
      <c r="M71" s="50">
        <f t="shared" si="1"/>
        <v>147</v>
      </c>
      <c r="N71" s="162">
        <v>59</v>
      </c>
      <c r="O71" s="162">
        <v>40</v>
      </c>
      <c r="P71" s="50">
        <f t="shared" si="2"/>
        <v>99</v>
      </c>
      <c r="Q71" s="162">
        <v>57</v>
      </c>
      <c r="R71" s="162">
        <v>45</v>
      </c>
      <c r="S71" s="50">
        <f t="shared" si="3"/>
        <v>102</v>
      </c>
      <c r="T71" s="162">
        <v>77</v>
      </c>
      <c r="U71" s="162">
        <v>57</v>
      </c>
      <c r="V71" s="50">
        <f t="shared" si="4"/>
        <v>134</v>
      </c>
      <c r="W71" s="162">
        <v>48</v>
      </c>
      <c r="X71" s="162">
        <v>35</v>
      </c>
      <c r="Y71" s="50">
        <f t="shared" si="5"/>
        <v>83</v>
      </c>
      <c r="Z71" s="162">
        <v>24</v>
      </c>
      <c r="AA71" s="162">
        <v>23</v>
      </c>
      <c r="AB71" s="50">
        <f t="shared" si="6"/>
        <v>47</v>
      </c>
      <c r="AC71" s="162">
        <v>24</v>
      </c>
      <c r="AD71" s="162">
        <v>23</v>
      </c>
      <c r="AE71" s="50">
        <f t="shared" si="7"/>
        <v>47</v>
      </c>
      <c r="AF71" s="162">
        <v>23</v>
      </c>
      <c r="AG71" s="162">
        <v>20</v>
      </c>
      <c r="AH71" s="50">
        <f t="shared" si="8"/>
        <v>43</v>
      </c>
      <c r="AI71" s="162">
        <v>23</v>
      </c>
      <c r="AJ71" s="162">
        <v>22</v>
      </c>
      <c r="AK71" s="50">
        <f t="shared" si="9"/>
        <v>45</v>
      </c>
      <c r="AL71" s="61">
        <v>47</v>
      </c>
      <c r="AM71" s="74">
        <f t="shared" si="10"/>
        <v>880</v>
      </c>
      <c r="AN71" s="41" t="s">
        <v>556</v>
      </c>
      <c r="AO71" s="119"/>
    </row>
    <row r="72" spans="1:41" s="117" customFormat="1" ht="100.5" customHeight="1" x14ac:dyDescent="0.4">
      <c r="A72" s="137">
        <v>65</v>
      </c>
      <c r="B72" s="143">
        <v>690090107007</v>
      </c>
      <c r="C72" s="69">
        <v>690090100342</v>
      </c>
      <c r="D72" s="141">
        <v>192508</v>
      </c>
      <c r="E72" s="148" t="s">
        <v>519</v>
      </c>
      <c r="F72" s="75" t="s">
        <v>520</v>
      </c>
      <c r="G72" s="142"/>
      <c r="H72" s="162">
        <v>65</v>
      </c>
      <c r="I72" s="162">
        <v>56</v>
      </c>
      <c r="J72" s="50">
        <f t="shared" si="0"/>
        <v>121</v>
      </c>
      <c r="K72" s="162">
        <v>81</v>
      </c>
      <c r="L72" s="162">
        <v>60</v>
      </c>
      <c r="M72" s="50">
        <f t="shared" si="1"/>
        <v>141</v>
      </c>
      <c r="N72" s="162">
        <v>58</v>
      </c>
      <c r="O72" s="162">
        <v>40</v>
      </c>
      <c r="P72" s="50">
        <f t="shared" si="2"/>
        <v>98</v>
      </c>
      <c r="Q72" s="162">
        <v>60</v>
      </c>
      <c r="R72" s="162">
        <v>46</v>
      </c>
      <c r="S72" s="50">
        <f t="shared" si="3"/>
        <v>106</v>
      </c>
      <c r="T72" s="162">
        <v>77</v>
      </c>
      <c r="U72" s="162">
        <v>56</v>
      </c>
      <c r="V72" s="50">
        <f t="shared" si="4"/>
        <v>133</v>
      </c>
      <c r="W72" s="162">
        <v>45</v>
      </c>
      <c r="X72" s="162">
        <v>21</v>
      </c>
      <c r="Y72" s="50">
        <f t="shared" si="5"/>
        <v>66</v>
      </c>
      <c r="Z72" s="162">
        <v>23</v>
      </c>
      <c r="AA72" s="162">
        <v>24</v>
      </c>
      <c r="AB72" s="50">
        <f t="shared" si="6"/>
        <v>47</v>
      </c>
      <c r="AC72" s="162">
        <v>20</v>
      </c>
      <c r="AD72" s="162">
        <v>21</v>
      </c>
      <c r="AE72" s="50">
        <f t="shared" si="7"/>
        <v>41</v>
      </c>
      <c r="AF72" s="162">
        <v>24</v>
      </c>
      <c r="AG72" s="162">
        <v>21</v>
      </c>
      <c r="AH72" s="50">
        <f t="shared" si="8"/>
        <v>45</v>
      </c>
      <c r="AI72" s="162">
        <v>23</v>
      </c>
      <c r="AJ72" s="162">
        <v>22</v>
      </c>
      <c r="AK72" s="50">
        <f t="shared" si="9"/>
        <v>45</v>
      </c>
      <c r="AL72" s="61">
        <v>47</v>
      </c>
      <c r="AM72" s="74">
        <f t="shared" si="10"/>
        <v>843</v>
      </c>
      <c r="AN72" s="41" t="s">
        <v>556</v>
      </c>
      <c r="AO72" s="119"/>
    </row>
    <row r="73" spans="1:41" s="117" customFormat="1" ht="100.5" customHeight="1" x14ac:dyDescent="0.4">
      <c r="A73" s="137">
        <v>66</v>
      </c>
      <c r="B73" s="143">
        <v>690090107008</v>
      </c>
      <c r="C73" s="69">
        <v>690090100343</v>
      </c>
      <c r="D73" s="141">
        <v>192509</v>
      </c>
      <c r="E73" s="148" t="s">
        <v>521</v>
      </c>
      <c r="F73" s="75" t="s">
        <v>522</v>
      </c>
      <c r="G73" s="142"/>
      <c r="H73" s="162">
        <v>68</v>
      </c>
      <c r="I73" s="162">
        <v>59</v>
      </c>
      <c r="J73" s="50">
        <f>SUM(H73:I73)</f>
        <v>127</v>
      </c>
      <c r="K73" s="162">
        <v>75</v>
      </c>
      <c r="L73" s="162">
        <v>60</v>
      </c>
      <c r="M73" s="50">
        <f>SUM(K73:L73)</f>
        <v>135</v>
      </c>
      <c r="N73" s="162">
        <v>57</v>
      </c>
      <c r="O73" s="162">
        <v>38</v>
      </c>
      <c r="P73" s="50">
        <f>SUM(N73:O73)</f>
        <v>95</v>
      </c>
      <c r="Q73" s="162">
        <v>54</v>
      </c>
      <c r="R73" s="162">
        <v>46</v>
      </c>
      <c r="S73" s="50">
        <f>SUM(Q73:R73)</f>
        <v>100</v>
      </c>
      <c r="T73" s="162">
        <v>76</v>
      </c>
      <c r="U73" s="162">
        <v>58</v>
      </c>
      <c r="V73" s="50">
        <f>SUM(T73:U73)</f>
        <v>134</v>
      </c>
      <c r="W73" s="162">
        <v>45</v>
      </c>
      <c r="X73" s="162">
        <v>33</v>
      </c>
      <c r="Y73" s="50">
        <f>SUM(W73:X73)</f>
        <v>78</v>
      </c>
      <c r="Z73" s="162">
        <v>22</v>
      </c>
      <c r="AA73" s="162">
        <v>23</v>
      </c>
      <c r="AB73" s="50">
        <f>SUM(Z73:AA73)</f>
        <v>45</v>
      </c>
      <c r="AC73" s="162">
        <v>16</v>
      </c>
      <c r="AD73" s="162">
        <v>15</v>
      </c>
      <c r="AE73" s="50">
        <f>SUM(AC73:AD73)</f>
        <v>31</v>
      </c>
      <c r="AF73" s="162">
        <v>24</v>
      </c>
      <c r="AG73" s="162">
        <v>23</v>
      </c>
      <c r="AH73" s="50">
        <f>SUM(AF73:AG73)</f>
        <v>47</v>
      </c>
      <c r="AI73" s="162">
        <v>22</v>
      </c>
      <c r="AJ73" s="162">
        <v>21</v>
      </c>
      <c r="AK73" s="50">
        <f>SUM(AI73:AJ73)</f>
        <v>43</v>
      </c>
      <c r="AL73" s="61">
        <v>47</v>
      </c>
      <c r="AM73" s="74">
        <f>AK73+AH73+AE73+AB73+Y73+V73+S73+P73+M73+J73</f>
        <v>835</v>
      </c>
      <c r="AN73" s="41" t="s">
        <v>556</v>
      </c>
      <c r="AO73" s="119"/>
    </row>
    <row r="74" spans="1:41" ht="27" customHeight="1" x14ac:dyDescent="0.4"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8"/>
    </row>
    <row r="75" spans="1:41" ht="27" customHeight="1" x14ac:dyDescent="0.4"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</row>
  </sheetData>
  <mergeCells count="19">
    <mergeCell ref="AI4:AK4"/>
    <mergeCell ref="E4:E7"/>
    <mergeCell ref="T4:V4"/>
    <mergeCell ref="C4:C7"/>
    <mergeCell ref="A1:AO1"/>
    <mergeCell ref="A2:AO2"/>
    <mergeCell ref="A3:AO3"/>
    <mergeCell ref="A4:A7"/>
    <mergeCell ref="Q4:S4"/>
    <mergeCell ref="D4:D7"/>
    <mergeCell ref="B4:B7"/>
    <mergeCell ref="AC4:AE4"/>
    <mergeCell ref="W4:Y4"/>
    <mergeCell ref="AF4:AH4"/>
    <mergeCell ref="N4:P4"/>
    <mergeCell ref="Z4:AB4"/>
    <mergeCell ref="F4:F7"/>
    <mergeCell ref="H4:J4"/>
    <mergeCell ref="K4:M4"/>
  </mergeCells>
  <conditionalFormatting sqref="J8:J73 M8:M73 P8:P73 S8:S73">
    <cfRule type="cellIs" dxfId="13" priority="28" stopIfTrue="1" operator="lessThan">
      <formula>60</formula>
    </cfRule>
  </conditionalFormatting>
  <conditionalFormatting sqref="Q8:Q51 K8:K73 N8:N73 Q53:Q73">
    <cfRule type="cellIs" dxfId="12" priority="30" stopIfTrue="1" operator="lessThan">
      <formula>27</formula>
    </cfRule>
  </conditionalFormatting>
  <conditionalFormatting sqref="T8:T73">
    <cfRule type="cellIs" dxfId="11" priority="2" stopIfTrue="1" operator="lessThan">
      <formula>27</formula>
    </cfRule>
  </conditionalFormatting>
  <conditionalFormatting sqref="V8:V73">
    <cfRule type="cellIs" dxfId="10" priority="1" stopIfTrue="1" operator="lessThan">
      <formula>60</formula>
    </cfRule>
  </conditionalFormatting>
  <conditionalFormatting sqref="W8:W73">
    <cfRule type="cellIs" dxfId="9" priority="21" stopIfTrue="1" operator="lessThan">
      <formula>18</formula>
    </cfRule>
  </conditionalFormatting>
  <conditionalFormatting sqref="Y8:Y73">
    <cfRule type="cellIs" dxfId="8" priority="20" stopIfTrue="1" operator="lessThan">
      <formula>40</formula>
    </cfRule>
  </conditionalFormatting>
  <conditionalFormatting sqref="AB8:AB73 AE8:AE73 AH8:AH73 AK8:AK73">
    <cfRule type="cellIs" dxfId="7" priority="16" stopIfTrue="1" operator="lessThan">
      <formula>25</formula>
    </cfRule>
  </conditionalFormatting>
  <conditionalFormatting sqref="AI8:AI51 H8:H73 Z8:Z73 AC8:AD73 AF8:AF73 AI53:AI73">
    <cfRule type="cellIs" dxfId="6" priority="17" stopIfTrue="1" operator="lessThan">
      <formula>13</formula>
    </cfRule>
  </conditionalFormatting>
  <pageMargins left="0.43307086614173229" right="0.31496062992125984" top="0.78740157480314965" bottom="1.4960629921259843" header="0.31496062992125984" footer="0.78740157480314965"/>
  <pageSetup paperSize="8" scale="36" orientation="landscape" r:id="rId1"/>
  <headerFooter>
    <oddFooter>&amp;L&amp;"Arial,Bold"&amp;16$ Non Credit Subject(s)&amp;"Arial,Regular"        Date: &amp;20 30.07.2021   &amp;16  Prepared by            Checked by &amp;C&amp;16Controller (GBPIET)                  &amp;"Arial,Bold"DIRECTOR&amp;R&amp;"Arial,Bold"&amp;16     CONTROLLER (UTU)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5"/>
  <sheetViews>
    <sheetView zoomScale="50" zoomScaleNormal="50" workbookViewId="0">
      <selection activeCell="G4" sqref="A4:XFD4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19.54296875" customWidth="1"/>
    <col min="5" max="5" width="32.7265625" customWidth="1"/>
    <col min="6" max="6" width="26.1796875" customWidth="1"/>
    <col min="7" max="7" width="12.453125" customWidth="1"/>
    <col min="8" max="34" width="8.453125" customWidth="1"/>
    <col min="35" max="35" width="17.54296875" customWidth="1"/>
    <col min="36" max="36" width="14.7265625" customWidth="1"/>
    <col min="37" max="37" width="17.1796875" customWidth="1"/>
    <col min="38" max="38" width="21.453125" customWidth="1"/>
  </cols>
  <sheetData>
    <row r="1" spans="1:38" ht="69.75" customHeight="1" x14ac:dyDescent="0.25">
      <c r="A1" s="186" t="s">
        <v>18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</row>
    <row r="2" spans="1:38" ht="69.75" customHeight="1" x14ac:dyDescent="0.25">
      <c r="A2" s="186" t="s">
        <v>29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</row>
    <row r="3" spans="1:38" ht="69.75" customHeight="1" x14ac:dyDescent="0.25">
      <c r="A3" s="163" t="s">
        <v>576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</row>
    <row r="4" spans="1:38" ht="152.25" customHeight="1" x14ac:dyDescent="0.25">
      <c r="A4" s="187" t="s">
        <v>1</v>
      </c>
      <c r="B4" s="187" t="s">
        <v>0</v>
      </c>
      <c r="C4" s="187" t="s">
        <v>27</v>
      </c>
      <c r="D4" s="187" t="s">
        <v>527</v>
      </c>
      <c r="E4" s="188" t="s">
        <v>6</v>
      </c>
      <c r="F4" s="188" t="s">
        <v>28</v>
      </c>
      <c r="G4" s="1" t="s">
        <v>5</v>
      </c>
      <c r="H4" s="180" t="s">
        <v>578</v>
      </c>
      <c r="I4" s="181"/>
      <c r="J4" s="182"/>
      <c r="K4" s="180" t="s">
        <v>579</v>
      </c>
      <c r="L4" s="181"/>
      <c r="M4" s="182"/>
      <c r="N4" s="180" t="s">
        <v>588</v>
      </c>
      <c r="O4" s="181"/>
      <c r="P4" s="182"/>
      <c r="Q4" s="180" t="s">
        <v>580</v>
      </c>
      <c r="R4" s="181"/>
      <c r="S4" s="182"/>
      <c r="T4" s="180" t="s">
        <v>581</v>
      </c>
      <c r="U4" s="181"/>
      <c r="V4" s="182"/>
      <c r="W4" s="180" t="s">
        <v>582</v>
      </c>
      <c r="X4" s="181"/>
      <c r="Y4" s="182"/>
      <c r="Z4" s="180" t="s">
        <v>589</v>
      </c>
      <c r="AA4" s="181"/>
      <c r="AB4" s="182"/>
      <c r="AC4" s="180" t="s">
        <v>583</v>
      </c>
      <c r="AD4" s="181"/>
      <c r="AE4" s="182"/>
      <c r="AF4" s="180" t="s">
        <v>584</v>
      </c>
      <c r="AG4" s="181"/>
      <c r="AH4" s="182"/>
      <c r="AI4" s="27" t="s">
        <v>577</v>
      </c>
      <c r="AJ4" s="27" t="s">
        <v>12</v>
      </c>
      <c r="AK4" s="28" t="s">
        <v>15</v>
      </c>
      <c r="AL4" s="28" t="s">
        <v>13</v>
      </c>
    </row>
    <row r="5" spans="1:38" ht="63" customHeight="1" x14ac:dyDescent="0.25">
      <c r="A5" s="187"/>
      <c r="B5" s="187"/>
      <c r="C5" s="187"/>
      <c r="D5" s="187"/>
      <c r="E5" s="188"/>
      <c r="F5" s="188"/>
      <c r="G5" s="2"/>
      <c r="H5" s="8" t="s">
        <v>7</v>
      </c>
      <c r="I5" s="8" t="s">
        <v>8</v>
      </c>
      <c r="J5" s="8" t="s">
        <v>4</v>
      </c>
      <c r="K5" s="8" t="s">
        <v>7</v>
      </c>
      <c r="L5" s="8" t="s">
        <v>8</v>
      </c>
      <c r="M5" s="8" t="s">
        <v>4</v>
      </c>
      <c r="N5" s="8" t="s">
        <v>7</v>
      </c>
      <c r="O5" s="8" t="s">
        <v>8</v>
      </c>
      <c r="P5" s="8" t="s">
        <v>4</v>
      </c>
      <c r="Q5" s="8" t="s">
        <v>7</v>
      </c>
      <c r="R5" s="8" t="s">
        <v>8</v>
      </c>
      <c r="S5" s="8" t="s">
        <v>4</v>
      </c>
      <c r="T5" s="8" t="s">
        <v>7</v>
      </c>
      <c r="U5" s="8" t="s">
        <v>8</v>
      </c>
      <c r="V5" s="8" t="s">
        <v>4</v>
      </c>
      <c r="W5" s="8" t="s">
        <v>7</v>
      </c>
      <c r="X5" s="8" t="s">
        <v>8</v>
      </c>
      <c r="Y5" s="8" t="s">
        <v>4</v>
      </c>
      <c r="Z5" s="8" t="s">
        <v>9</v>
      </c>
      <c r="AA5" s="8" t="s">
        <v>8</v>
      </c>
      <c r="AB5" s="8" t="s">
        <v>4</v>
      </c>
      <c r="AC5" s="8" t="s">
        <v>9</v>
      </c>
      <c r="AD5" s="8" t="s">
        <v>8</v>
      </c>
      <c r="AE5" s="8" t="s">
        <v>4</v>
      </c>
      <c r="AF5" s="8" t="s">
        <v>9</v>
      </c>
      <c r="AG5" s="8" t="s">
        <v>8</v>
      </c>
      <c r="AH5" s="8" t="s">
        <v>4</v>
      </c>
      <c r="AI5" s="8"/>
      <c r="AJ5" s="9"/>
      <c r="AK5" s="2"/>
      <c r="AL5" s="33"/>
    </row>
    <row r="6" spans="1:38" ht="63" customHeight="1" x14ac:dyDescent="0.25">
      <c r="A6" s="187"/>
      <c r="B6" s="187"/>
      <c r="C6" s="187"/>
      <c r="D6" s="187"/>
      <c r="E6" s="188"/>
      <c r="F6" s="188"/>
      <c r="G6" s="64" t="s">
        <v>2</v>
      </c>
      <c r="H6" s="65">
        <v>90</v>
      </c>
      <c r="I6" s="65">
        <v>60</v>
      </c>
      <c r="J6" s="65">
        <f>SUM(H6:I6)</f>
        <v>150</v>
      </c>
      <c r="K6" s="65">
        <v>90</v>
      </c>
      <c r="L6" s="65">
        <v>60</v>
      </c>
      <c r="M6" s="65">
        <f>SUM(K6:L6)</f>
        <v>150</v>
      </c>
      <c r="N6" s="65">
        <v>90</v>
      </c>
      <c r="O6" s="65">
        <v>60</v>
      </c>
      <c r="P6" s="65">
        <f>SUM(N6:O6)</f>
        <v>150</v>
      </c>
      <c r="Q6" s="65">
        <v>90</v>
      </c>
      <c r="R6" s="65">
        <v>60</v>
      </c>
      <c r="S6" s="65">
        <f>SUM(Q6:R6)</f>
        <v>150</v>
      </c>
      <c r="T6" s="65">
        <v>60</v>
      </c>
      <c r="U6" s="65">
        <v>40</v>
      </c>
      <c r="V6" s="65">
        <f>SUM(T6:U6)</f>
        <v>100</v>
      </c>
      <c r="W6" s="65">
        <v>90</v>
      </c>
      <c r="X6" s="65">
        <v>60</v>
      </c>
      <c r="Y6" s="65">
        <f>SUM(W6:X6)</f>
        <v>150</v>
      </c>
      <c r="Z6" s="65">
        <v>25</v>
      </c>
      <c r="AA6" s="65">
        <v>25</v>
      </c>
      <c r="AB6" s="65">
        <f>SUM(Z6:AA6)</f>
        <v>50</v>
      </c>
      <c r="AC6" s="65">
        <v>25</v>
      </c>
      <c r="AD6" s="65">
        <v>25</v>
      </c>
      <c r="AE6" s="65">
        <f>SUM(AC6:AD6)</f>
        <v>50</v>
      </c>
      <c r="AF6" s="65">
        <v>25</v>
      </c>
      <c r="AG6" s="65">
        <v>25</v>
      </c>
      <c r="AH6" s="65">
        <f>SUM(AF6:AG6)</f>
        <v>50</v>
      </c>
      <c r="AI6" s="65">
        <v>50</v>
      </c>
      <c r="AJ6" s="65">
        <v>1000</v>
      </c>
      <c r="AK6" s="4"/>
      <c r="AL6" s="34"/>
    </row>
    <row r="7" spans="1:38" ht="63" customHeight="1" x14ac:dyDescent="0.25">
      <c r="A7" s="171"/>
      <c r="B7" s="171"/>
      <c r="C7" s="171"/>
      <c r="D7" s="171"/>
      <c r="E7" s="189"/>
      <c r="F7" s="189"/>
      <c r="G7" s="66" t="s">
        <v>3</v>
      </c>
      <c r="H7" s="67">
        <v>27</v>
      </c>
      <c r="I7" s="67"/>
      <c r="J7" s="67">
        <v>60</v>
      </c>
      <c r="K7" s="67">
        <v>27</v>
      </c>
      <c r="L7" s="67"/>
      <c r="M7" s="67">
        <v>60</v>
      </c>
      <c r="N7" s="67">
        <v>27</v>
      </c>
      <c r="O7" s="67"/>
      <c r="P7" s="67">
        <v>60</v>
      </c>
      <c r="Q7" s="67">
        <v>27</v>
      </c>
      <c r="R7" s="67"/>
      <c r="S7" s="67">
        <v>60</v>
      </c>
      <c r="T7" s="67">
        <v>18</v>
      </c>
      <c r="U7" s="67"/>
      <c r="V7" s="67">
        <v>40</v>
      </c>
      <c r="W7" s="67">
        <v>27</v>
      </c>
      <c r="X7" s="67"/>
      <c r="Y7" s="67">
        <v>60</v>
      </c>
      <c r="Z7" s="67">
        <v>13</v>
      </c>
      <c r="AA7" s="67"/>
      <c r="AB7" s="67">
        <v>25</v>
      </c>
      <c r="AC7" s="67">
        <v>13</v>
      </c>
      <c r="AD7" s="67"/>
      <c r="AE7" s="67">
        <v>25</v>
      </c>
      <c r="AF7" s="67">
        <v>13</v>
      </c>
      <c r="AG7" s="67"/>
      <c r="AH7" s="67">
        <v>25</v>
      </c>
      <c r="AI7" s="67"/>
      <c r="AJ7" s="67">
        <v>500</v>
      </c>
      <c r="AK7" s="7"/>
      <c r="AL7" s="35"/>
    </row>
    <row r="8" spans="1:38" s="43" customFormat="1" ht="117" customHeight="1" x14ac:dyDescent="0.35">
      <c r="A8" s="52">
        <v>1</v>
      </c>
      <c r="B8" s="53">
        <v>180090120001</v>
      </c>
      <c r="C8" s="54" t="s">
        <v>463</v>
      </c>
      <c r="D8" s="55">
        <v>180701</v>
      </c>
      <c r="E8" s="56" t="s">
        <v>461</v>
      </c>
      <c r="F8" s="56" t="s">
        <v>462</v>
      </c>
      <c r="G8" s="57"/>
      <c r="H8" s="58">
        <v>86</v>
      </c>
      <c r="I8" s="58">
        <v>51</v>
      </c>
      <c r="J8" s="50">
        <f>SUM(H8:I8)</f>
        <v>137</v>
      </c>
      <c r="K8" s="58">
        <v>63</v>
      </c>
      <c r="L8" s="58">
        <v>54</v>
      </c>
      <c r="M8" s="50">
        <f>SUM(K8:L8)</f>
        <v>117</v>
      </c>
      <c r="N8" s="58">
        <v>60</v>
      </c>
      <c r="O8" s="58">
        <v>54</v>
      </c>
      <c r="P8" s="50">
        <f>SUM(N8:O8)</f>
        <v>114</v>
      </c>
      <c r="Q8" s="59">
        <v>53</v>
      </c>
      <c r="R8" s="59">
        <v>53</v>
      </c>
      <c r="S8" s="50">
        <f>SUM(Q8:R8)</f>
        <v>106</v>
      </c>
      <c r="T8" s="59">
        <v>52</v>
      </c>
      <c r="U8" s="59">
        <v>34</v>
      </c>
      <c r="V8" s="50">
        <f>SUM(T8:U8)</f>
        <v>86</v>
      </c>
      <c r="W8" s="59">
        <v>81</v>
      </c>
      <c r="X8" s="59">
        <v>54</v>
      </c>
      <c r="Y8" s="50">
        <f>SUM(W8:X8)</f>
        <v>135</v>
      </c>
      <c r="Z8" s="60">
        <v>22</v>
      </c>
      <c r="AA8" s="58">
        <v>22</v>
      </c>
      <c r="AB8" s="50">
        <f>SUM(Z8:AA8)</f>
        <v>44</v>
      </c>
      <c r="AC8" s="59">
        <v>21</v>
      </c>
      <c r="AD8" s="59">
        <v>21</v>
      </c>
      <c r="AE8" s="50">
        <f>SUM(AC8:AD8)</f>
        <v>42</v>
      </c>
      <c r="AF8" s="59">
        <v>21</v>
      </c>
      <c r="AG8" s="59">
        <v>21</v>
      </c>
      <c r="AH8" s="50">
        <f>SUM(AF8:AG8)</f>
        <v>42</v>
      </c>
      <c r="AI8" s="61">
        <v>46</v>
      </c>
      <c r="AJ8" s="50">
        <f>AH8+AE8+AB8+Y8+V8+S8+P8+M8+J8</f>
        <v>823</v>
      </c>
      <c r="AK8" s="62" t="s">
        <v>556</v>
      </c>
      <c r="AL8" s="63"/>
    </row>
    <row r="9" spans="1:38" ht="117" customHeight="1" x14ac:dyDescent="0.25">
      <c r="A9" s="52">
        <v>2</v>
      </c>
      <c r="B9" s="53">
        <v>690090120001</v>
      </c>
      <c r="C9" s="54" t="s">
        <v>506</v>
      </c>
      <c r="D9" s="55">
        <v>180701</v>
      </c>
      <c r="E9" s="56" t="s">
        <v>503</v>
      </c>
      <c r="F9" s="56" t="s">
        <v>504</v>
      </c>
      <c r="G9" s="114"/>
      <c r="H9" s="58">
        <v>89</v>
      </c>
      <c r="I9" s="58">
        <v>34</v>
      </c>
      <c r="J9" s="50">
        <f>SUM(H9:I9)</f>
        <v>123</v>
      </c>
      <c r="K9" s="58">
        <v>72</v>
      </c>
      <c r="L9" s="58">
        <v>38</v>
      </c>
      <c r="M9" s="50">
        <f>SUM(K9:L9)</f>
        <v>110</v>
      </c>
      <c r="N9" s="58">
        <v>53</v>
      </c>
      <c r="O9" s="58">
        <v>42</v>
      </c>
      <c r="P9" s="50">
        <f>SUM(N9:O9)</f>
        <v>95</v>
      </c>
      <c r="Q9" s="59">
        <v>34</v>
      </c>
      <c r="R9" s="59">
        <v>41</v>
      </c>
      <c r="S9" s="50">
        <f>SUM(Q9:R9)</f>
        <v>75</v>
      </c>
      <c r="T9" s="59">
        <v>41</v>
      </c>
      <c r="U9" s="59">
        <v>23</v>
      </c>
      <c r="V9" s="50">
        <f>SUM(T9:U9)</f>
        <v>64</v>
      </c>
      <c r="W9" s="59">
        <v>44</v>
      </c>
      <c r="X9" s="59">
        <v>38</v>
      </c>
      <c r="Y9" s="50">
        <f>SUM(W9:X9)</f>
        <v>82</v>
      </c>
      <c r="Z9" s="60">
        <v>18</v>
      </c>
      <c r="AA9" s="58">
        <v>19</v>
      </c>
      <c r="AB9" s="50">
        <f>SUM(Z9:AA9)</f>
        <v>37</v>
      </c>
      <c r="AC9" s="59">
        <v>18</v>
      </c>
      <c r="AD9" s="59">
        <v>18</v>
      </c>
      <c r="AE9" s="50">
        <f>SUM(AC9:AD9)</f>
        <v>36</v>
      </c>
      <c r="AF9" s="59">
        <v>22</v>
      </c>
      <c r="AG9" s="59">
        <v>19</v>
      </c>
      <c r="AH9" s="50">
        <f>SUM(AF9:AG9)</f>
        <v>41</v>
      </c>
      <c r="AI9" s="61">
        <v>47</v>
      </c>
      <c r="AJ9" s="50">
        <f>AH9+AE9+AB9+Y9+V9+S9+P9+M9+J9</f>
        <v>663</v>
      </c>
      <c r="AK9" s="62" t="s">
        <v>556</v>
      </c>
      <c r="AL9" s="114"/>
    </row>
    <row r="14" spans="1:38" ht="23.25" customHeight="1" x14ac:dyDescent="0.5">
      <c r="B14" s="115"/>
      <c r="C14" s="115"/>
      <c r="D14" s="115"/>
    </row>
    <row r="15" spans="1:38" ht="23.25" customHeight="1" x14ac:dyDescent="0.5">
      <c r="B15" s="115"/>
      <c r="C15" s="115"/>
      <c r="D15" s="115"/>
    </row>
  </sheetData>
  <mergeCells count="18">
    <mergeCell ref="E4:E7"/>
    <mergeCell ref="C4:C7"/>
    <mergeCell ref="AF4:AH4"/>
    <mergeCell ref="AC4:AE4"/>
    <mergeCell ref="A1:AL1"/>
    <mergeCell ref="A3:AL3"/>
    <mergeCell ref="W4:Y4"/>
    <mergeCell ref="Z4:AB4"/>
    <mergeCell ref="D4:D7"/>
    <mergeCell ref="N4:P4"/>
    <mergeCell ref="F4:F7"/>
    <mergeCell ref="H4:J4"/>
    <mergeCell ref="Q4:S4"/>
    <mergeCell ref="T4:V4"/>
    <mergeCell ref="A2:AL2"/>
    <mergeCell ref="A4:A7"/>
    <mergeCell ref="B4:B7"/>
    <mergeCell ref="K4:M4"/>
  </mergeCells>
  <pageMargins left="0.78740157480314965" right="0.27559055118110237" top="2.2834645669291338" bottom="4.5275590551181102" header="0.31496062992125984" footer="3.2677165354330708"/>
  <pageSetup paperSize="8" scale="43" orientation="landscape" r:id="rId1"/>
  <headerFooter>
    <oddFooter>&amp;L&amp;16Date: 30.07.2021     PREPARED BY             CHECKED BY&amp;C&amp;16EXAMINATION CONTROLLER GBPIET                        &amp;"Arial,Bold"DIRECTOR&amp;R&amp;16CONTROLLER (UTU)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64"/>
  <sheetViews>
    <sheetView tabSelected="1" zoomScale="40" zoomScaleNormal="40" workbookViewId="0">
      <selection sqref="A1:AY1"/>
    </sheetView>
  </sheetViews>
  <sheetFormatPr defaultRowHeight="12.5" x14ac:dyDescent="0.25"/>
  <cols>
    <col min="1" max="1" width="14.26953125" customWidth="1"/>
    <col min="2" max="2" width="34" customWidth="1"/>
    <col min="3" max="3" width="29.26953125" customWidth="1"/>
    <col min="4" max="4" width="33.1796875" customWidth="1"/>
    <col min="5" max="5" width="36.81640625" customWidth="1"/>
    <col min="6" max="6" width="10.1796875" customWidth="1"/>
    <col min="7" max="8" width="7.81640625" customWidth="1"/>
    <col min="9" max="9" width="10.7265625" customWidth="1"/>
    <col min="10" max="14" width="7.81640625" customWidth="1"/>
    <col min="15" max="15" width="12.81640625" customWidth="1"/>
    <col min="16" max="20" width="7.81640625" customWidth="1"/>
    <col min="21" max="21" width="12.54296875" customWidth="1"/>
    <col min="22" max="23" width="7.81640625" customWidth="1"/>
    <col min="24" max="24" width="10.453125" customWidth="1"/>
    <col min="25" max="26" width="7.81640625" customWidth="1"/>
    <col min="27" max="27" width="12.81640625" customWidth="1"/>
    <col min="28" max="35" width="7.81640625" customWidth="1"/>
    <col min="36" max="36" width="10" customWidth="1"/>
    <col min="37" max="38" width="7.81640625" customWidth="1"/>
    <col min="39" max="39" width="12.1796875" customWidth="1"/>
    <col min="40" max="41" width="7.81640625" customWidth="1"/>
    <col min="42" max="42" width="10" customWidth="1"/>
    <col min="43" max="44" width="7.81640625" customWidth="1"/>
    <col min="45" max="45" width="13" customWidth="1"/>
    <col min="46" max="48" width="7.81640625" customWidth="1"/>
    <col min="49" max="49" width="16.54296875" customWidth="1"/>
    <col min="50" max="50" width="14.81640625" customWidth="1"/>
    <col min="51" max="51" width="18.26953125" customWidth="1"/>
  </cols>
  <sheetData>
    <row r="1" spans="1:51" ht="74.25" customHeight="1" x14ac:dyDescent="0.25">
      <c r="A1" s="186" t="s">
        <v>19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</row>
    <row r="2" spans="1:51" ht="74.25" customHeight="1" x14ac:dyDescent="0.25">
      <c r="A2" s="186" t="s">
        <v>29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</row>
    <row r="3" spans="1:51" ht="74.25" customHeight="1" x14ac:dyDescent="0.25">
      <c r="A3" s="179" t="s">
        <v>572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</row>
    <row r="4" spans="1:51" ht="210" customHeight="1" x14ac:dyDescent="0.25">
      <c r="A4" s="187" t="s">
        <v>1</v>
      </c>
      <c r="B4" s="187" t="s">
        <v>0</v>
      </c>
      <c r="C4" s="187" t="s">
        <v>22</v>
      </c>
      <c r="D4" s="188" t="s">
        <v>6</v>
      </c>
      <c r="E4" s="188" t="s">
        <v>23</v>
      </c>
      <c r="F4" s="3" t="s">
        <v>5</v>
      </c>
      <c r="G4" s="190" t="s">
        <v>541</v>
      </c>
      <c r="H4" s="190"/>
      <c r="I4" s="190"/>
      <c r="J4" s="190" t="s">
        <v>542</v>
      </c>
      <c r="K4" s="190"/>
      <c r="L4" s="190"/>
      <c r="M4" s="190" t="s">
        <v>543</v>
      </c>
      <c r="N4" s="190"/>
      <c r="O4" s="190"/>
      <c r="P4" s="190" t="s">
        <v>544</v>
      </c>
      <c r="Q4" s="190"/>
      <c r="R4" s="190"/>
      <c r="S4" s="190" t="s">
        <v>545</v>
      </c>
      <c r="T4" s="190"/>
      <c r="U4" s="190"/>
      <c r="V4" s="190" t="s">
        <v>546</v>
      </c>
      <c r="W4" s="190"/>
      <c r="X4" s="190"/>
      <c r="Y4" s="190" t="s">
        <v>547</v>
      </c>
      <c r="Z4" s="190"/>
      <c r="AA4" s="190"/>
      <c r="AB4" s="190" t="s">
        <v>548</v>
      </c>
      <c r="AC4" s="190"/>
      <c r="AD4" s="190"/>
      <c r="AE4" s="190" t="s">
        <v>549</v>
      </c>
      <c r="AF4" s="190"/>
      <c r="AG4" s="190"/>
      <c r="AH4" s="190" t="s">
        <v>550</v>
      </c>
      <c r="AI4" s="190"/>
      <c r="AJ4" s="190"/>
      <c r="AK4" s="190" t="s">
        <v>562</v>
      </c>
      <c r="AL4" s="190"/>
      <c r="AM4" s="190"/>
      <c r="AN4" s="190" t="s">
        <v>596</v>
      </c>
      <c r="AO4" s="190"/>
      <c r="AP4" s="190"/>
      <c r="AQ4" s="191" t="s">
        <v>551</v>
      </c>
      <c r="AR4" s="192"/>
      <c r="AS4" s="193"/>
      <c r="AT4" s="190" t="s">
        <v>552</v>
      </c>
      <c r="AU4" s="190"/>
      <c r="AV4" s="190"/>
      <c r="AW4" s="120" t="s">
        <v>553</v>
      </c>
      <c r="AX4" s="120" t="s">
        <v>11</v>
      </c>
      <c r="AY4" s="121" t="s">
        <v>14</v>
      </c>
    </row>
    <row r="5" spans="1:51" ht="39" customHeight="1" x14ac:dyDescent="0.25">
      <c r="A5" s="187"/>
      <c r="B5" s="187"/>
      <c r="C5" s="187"/>
      <c r="D5" s="188"/>
      <c r="E5" s="188"/>
      <c r="F5" s="5"/>
      <c r="G5" s="32" t="s">
        <v>7</v>
      </c>
      <c r="H5" s="32" t="s">
        <v>8</v>
      </c>
      <c r="I5" s="32" t="s">
        <v>4</v>
      </c>
      <c r="J5" s="32" t="s">
        <v>7</v>
      </c>
      <c r="K5" s="32" t="s">
        <v>8</v>
      </c>
      <c r="L5" s="32" t="s">
        <v>4</v>
      </c>
      <c r="M5" s="32" t="s">
        <v>7</v>
      </c>
      <c r="N5" s="32" t="s">
        <v>8</v>
      </c>
      <c r="O5" s="32" t="s">
        <v>4</v>
      </c>
      <c r="P5" s="32" t="s">
        <v>7</v>
      </c>
      <c r="Q5" s="32" t="s">
        <v>8</v>
      </c>
      <c r="R5" s="32" t="s">
        <v>4</v>
      </c>
      <c r="S5" s="32" t="s">
        <v>7</v>
      </c>
      <c r="T5" s="32" t="s">
        <v>8</v>
      </c>
      <c r="U5" s="32" t="s">
        <v>4</v>
      </c>
      <c r="V5" s="32" t="s">
        <v>7</v>
      </c>
      <c r="W5" s="32" t="s">
        <v>8</v>
      </c>
      <c r="X5" s="32" t="s">
        <v>4</v>
      </c>
      <c r="Y5" s="32" t="s">
        <v>7</v>
      </c>
      <c r="Z5" s="32" t="s">
        <v>8</v>
      </c>
      <c r="AA5" s="32" t="s">
        <v>4</v>
      </c>
      <c r="AB5" s="32" t="s">
        <v>7</v>
      </c>
      <c r="AC5" s="32" t="s">
        <v>8</v>
      </c>
      <c r="AD5" s="32" t="s">
        <v>4</v>
      </c>
      <c r="AE5" s="32" t="s">
        <v>7</v>
      </c>
      <c r="AF5" s="32" t="s">
        <v>8</v>
      </c>
      <c r="AG5" s="32" t="s">
        <v>4</v>
      </c>
      <c r="AH5" s="32" t="s">
        <v>7</v>
      </c>
      <c r="AI5" s="32" t="s">
        <v>8</v>
      </c>
      <c r="AJ5" s="32" t="s">
        <v>4</v>
      </c>
      <c r="AK5" s="32" t="s">
        <v>7</v>
      </c>
      <c r="AL5" s="32" t="s">
        <v>8</v>
      </c>
      <c r="AM5" s="32" t="s">
        <v>4</v>
      </c>
      <c r="AN5" s="32" t="s">
        <v>9</v>
      </c>
      <c r="AO5" s="32" t="s">
        <v>8</v>
      </c>
      <c r="AP5" s="32" t="s">
        <v>4</v>
      </c>
      <c r="AQ5" s="32" t="s">
        <v>9</v>
      </c>
      <c r="AR5" s="32" t="s">
        <v>8</v>
      </c>
      <c r="AS5" s="32" t="s">
        <v>4</v>
      </c>
      <c r="AT5" s="32" t="s">
        <v>9</v>
      </c>
      <c r="AU5" s="32" t="s">
        <v>8</v>
      </c>
      <c r="AV5" s="32" t="s">
        <v>4</v>
      </c>
      <c r="AW5" s="14"/>
      <c r="AX5" s="29"/>
      <c r="AY5" s="5"/>
    </row>
    <row r="6" spans="1:51" ht="39" customHeight="1" x14ac:dyDescent="0.25">
      <c r="A6" s="187"/>
      <c r="B6" s="187"/>
      <c r="C6" s="187"/>
      <c r="D6" s="188"/>
      <c r="E6" s="188"/>
      <c r="F6" s="3" t="s">
        <v>2</v>
      </c>
      <c r="G6" s="40">
        <v>120</v>
      </c>
      <c r="H6" s="40">
        <v>80</v>
      </c>
      <c r="I6" s="40">
        <f>SUM(G6:H6)</f>
        <v>200</v>
      </c>
      <c r="J6" s="40">
        <v>120</v>
      </c>
      <c r="K6" s="40">
        <v>80</v>
      </c>
      <c r="L6" s="40">
        <f>SUM(J6:K6)</f>
        <v>200</v>
      </c>
      <c r="M6" s="40">
        <v>90</v>
      </c>
      <c r="N6" s="40">
        <v>60</v>
      </c>
      <c r="O6" s="40">
        <f>SUM(M6:N6)</f>
        <v>150</v>
      </c>
      <c r="P6" s="40">
        <v>90</v>
      </c>
      <c r="Q6" s="40">
        <v>60</v>
      </c>
      <c r="R6" s="40">
        <f>SUM(P6:Q6)</f>
        <v>150</v>
      </c>
      <c r="S6" s="40">
        <v>90</v>
      </c>
      <c r="T6" s="40">
        <v>60</v>
      </c>
      <c r="U6" s="40">
        <f>SUM(S6:T6)</f>
        <v>150</v>
      </c>
      <c r="V6" s="40">
        <v>90</v>
      </c>
      <c r="W6" s="40">
        <v>60</v>
      </c>
      <c r="X6" s="40">
        <f>SUM(V6:W6)</f>
        <v>150</v>
      </c>
      <c r="Y6" s="40">
        <v>90</v>
      </c>
      <c r="Z6" s="40">
        <v>60</v>
      </c>
      <c r="AA6" s="40">
        <f>SUM(Y6:Z6)</f>
        <v>150</v>
      </c>
      <c r="AB6" s="40">
        <v>90</v>
      </c>
      <c r="AC6" s="40">
        <v>60</v>
      </c>
      <c r="AD6" s="40">
        <f>SUM(AB6:AC6)</f>
        <v>150</v>
      </c>
      <c r="AE6" s="40">
        <v>90</v>
      </c>
      <c r="AF6" s="40">
        <v>60</v>
      </c>
      <c r="AG6" s="40">
        <f>SUM(AE6:AF6)</f>
        <v>150</v>
      </c>
      <c r="AH6" s="40">
        <v>90</v>
      </c>
      <c r="AI6" s="40">
        <v>60</v>
      </c>
      <c r="AJ6" s="40">
        <f>SUM(AH6:AI6)</f>
        <v>150</v>
      </c>
      <c r="AK6" s="40">
        <v>90</v>
      </c>
      <c r="AL6" s="40">
        <v>60</v>
      </c>
      <c r="AM6" s="40">
        <f>SUM(AK6:AL6)</f>
        <v>150</v>
      </c>
      <c r="AN6" s="49">
        <v>25</v>
      </c>
      <c r="AO6" s="49">
        <v>25</v>
      </c>
      <c r="AP6" s="49">
        <f>SUM(AN6:AO6)</f>
        <v>50</v>
      </c>
      <c r="AQ6" s="49">
        <v>50</v>
      </c>
      <c r="AR6" s="49">
        <v>50</v>
      </c>
      <c r="AS6" s="49">
        <v>100</v>
      </c>
      <c r="AT6" s="49">
        <v>25</v>
      </c>
      <c r="AU6" s="49">
        <v>25</v>
      </c>
      <c r="AV6" s="49">
        <f>SUM(AT6:AU6)</f>
        <v>50</v>
      </c>
      <c r="AW6" s="49">
        <v>50</v>
      </c>
      <c r="AX6" s="40">
        <v>1100</v>
      </c>
      <c r="AY6" s="4"/>
    </row>
    <row r="7" spans="1:51" ht="39" customHeight="1" x14ac:dyDescent="0.25">
      <c r="A7" s="187"/>
      <c r="B7" s="187"/>
      <c r="C7" s="187"/>
      <c r="D7" s="188"/>
      <c r="E7" s="188"/>
      <c r="F7" s="6" t="s">
        <v>3</v>
      </c>
      <c r="G7" s="116">
        <v>36</v>
      </c>
      <c r="H7" s="116"/>
      <c r="I7" s="116">
        <v>80</v>
      </c>
      <c r="J7" s="116">
        <v>36</v>
      </c>
      <c r="K7" s="116"/>
      <c r="L7" s="116">
        <v>80</v>
      </c>
      <c r="M7" s="116">
        <v>27</v>
      </c>
      <c r="N7" s="116"/>
      <c r="O7" s="116">
        <v>60</v>
      </c>
      <c r="P7" s="116">
        <v>27</v>
      </c>
      <c r="Q7" s="116"/>
      <c r="R7" s="116">
        <v>60</v>
      </c>
      <c r="S7" s="116">
        <v>27</v>
      </c>
      <c r="T7" s="116"/>
      <c r="U7" s="116">
        <v>60</v>
      </c>
      <c r="V7" s="116">
        <v>27</v>
      </c>
      <c r="W7" s="116"/>
      <c r="X7" s="116">
        <v>60</v>
      </c>
      <c r="Y7" s="116">
        <v>27</v>
      </c>
      <c r="Z7" s="116"/>
      <c r="AA7" s="116">
        <v>60</v>
      </c>
      <c r="AB7" s="116">
        <v>27</v>
      </c>
      <c r="AC7" s="116"/>
      <c r="AD7" s="116">
        <v>60</v>
      </c>
      <c r="AE7" s="116">
        <v>27</v>
      </c>
      <c r="AF7" s="116"/>
      <c r="AG7" s="116">
        <v>60</v>
      </c>
      <c r="AH7" s="116">
        <v>27</v>
      </c>
      <c r="AI7" s="116"/>
      <c r="AJ7" s="116">
        <v>60</v>
      </c>
      <c r="AK7" s="116">
        <v>27</v>
      </c>
      <c r="AL7" s="116"/>
      <c r="AM7" s="116">
        <v>60</v>
      </c>
      <c r="AN7" s="51"/>
      <c r="AO7" s="51"/>
      <c r="AP7" s="51">
        <v>25</v>
      </c>
      <c r="AQ7" s="51"/>
      <c r="AR7" s="51"/>
      <c r="AS7" s="51">
        <v>50</v>
      </c>
      <c r="AT7" s="51"/>
      <c r="AU7" s="51"/>
      <c r="AV7" s="51">
        <v>25</v>
      </c>
      <c r="AW7" s="51"/>
      <c r="AX7" s="40">
        <v>550</v>
      </c>
      <c r="AY7" s="7"/>
    </row>
    <row r="8" spans="1:51" s="37" customFormat="1" ht="95.25" customHeight="1" x14ac:dyDescent="0.25">
      <c r="A8" s="68">
        <v>1</v>
      </c>
      <c r="B8" s="143">
        <v>180090102001</v>
      </c>
      <c r="C8" s="70">
        <v>180000100001</v>
      </c>
      <c r="D8" s="71" t="s">
        <v>43</v>
      </c>
      <c r="E8" s="71" t="s">
        <v>44</v>
      </c>
      <c r="F8" s="72"/>
      <c r="G8" s="151">
        <v>114</v>
      </c>
      <c r="H8" s="151">
        <v>52</v>
      </c>
      <c r="I8" s="149">
        <f>SUM(G8:H8)</f>
        <v>166</v>
      </c>
      <c r="J8" s="151">
        <v>63</v>
      </c>
      <c r="K8" s="151">
        <v>50</v>
      </c>
      <c r="L8" s="149">
        <f>SUM(J8:K8)</f>
        <v>113</v>
      </c>
      <c r="M8" s="151">
        <v>80</v>
      </c>
      <c r="N8" s="151">
        <v>37</v>
      </c>
      <c r="O8" s="149">
        <f>SUM(M8:N8)</f>
        <v>117</v>
      </c>
      <c r="P8" s="151"/>
      <c r="Q8" s="151"/>
      <c r="R8" s="149"/>
      <c r="S8" s="151"/>
      <c r="T8" s="151"/>
      <c r="U8" s="149"/>
      <c r="V8" s="151"/>
      <c r="W8" s="151"/>
      <c r="X8" s="149"/>
      <c r="Y8" s="151">
        <v>68</v>
      </c>
      <c r="Z8" s="151">
        <v>49</v>
      </c>
      <c r="AA8" s="149">
        <f>SUM(Y8:Z8)</f>
        <v>117</v>
      </c>
      <c r="AB8" s="151"/>
      <c r="AC8" s="151"/>
      <c r="AD8" s="149"/>
      <c r="AE8" s="151">
        <v>78</v>
      </c>
      <c r="AF8" s="151">
        <v>34</v>
      </c>
      <c r="AG8" s="149">
        <f>SUM(AE8:AF8)</f>
        <v>112</v>
      </c>
      <c r="AH8" s="151"/>
      <c r="AI8" s="151"/>
      <c r="AJ8" s="149"/>
      <c r="AK8" s="151"/>
      <c r="AL8" s="151"/>
      <c r="AM8" s="149"/>
      <c r="AN8" s="151">
        <v>17</v>
      </c>
      <c r="AO8" s="151">
        <v>15</v>
      </c>
      <c r="AP8" s="149">
        <f>SUM(AN8:AO8)</f>
        <v>32</v>
      </c>
      <c r="AQ8" s="151">
        <v>40</v>
      </c>
      <c r="AR8" s="151">
        <v>37</v>
      </c>
      <c r="AS8" s="149">
        <f>SUM(AQ8:AR8)</f>
        <v>77</v>
      </c>
      <c r="AT8" s="151">
        <v>20</v>
      </c>
      <c r="AU8" s="151">
        <v>19</v>
      </c>
      <c r="AV8" s="149">
        <f>SUM(AT8:AU8)</f>
        <v>39</v>
      </c>
      <c r="AW8" s="149">
        <v>46</v>
      </c>
      <c r="AX8" s="149">
        <f>AV8+AS8+AP8+AM8+AJ8+AG8+AD8+AA8+X8+U8+R8+O8+L8+I8</f>
        <v>773</v>
      </c>
      <c r="AY8" s="152" t="s">
        <v>556</v>
      </c>
    </row>
    <row r="9" spans="1:51" s="37" customFormat="1" ht="95.25" customHeight="1" x14ac:dyDescent="0.25">
      <c r="A9" s="68">
        <v>2</v>
      </c>
      <c r="B9" s="143">
        <v>180090102002</v>
      </c>
      <c r="C9" s="70">
        <v>180000100002</v>
      </c>
      <c r="D9" s="75" t="s">
        <v>45</v>
      </c>
      <c r="E9" s="71" t="s">
        <v>46</v>
      </c>
      <c r="F9" s="72"/>
      <c r="G9" s="151">
        <v>94</v>
      </c>
      <c r="H9" s="151">
        <v>75</v>
      </c>
      <c r="I9" s="149">
        <f t="shared" ref="I9:I64" si="0">SUM(G9:H9)</f>
        <v>169</v>
      </c>
      <c r="J9" s="151">
        <v>77</v>
      </c>
      <c r="K9" s="151">
        <v>41</v>
      </c>
      <c r="L9" s="149">
        <f t="shared" ref="L9:L64" si="1">SUM(J9:K9)</f>
        <v>118</v>
      </c>
      <c r="M9" s="151">
        <v>68</v>
      </c>
      <c r="N9" s="151">
        <v>46</v>
      </c>
      <c r="O9" s="149">
        <f t="shared" ref="O9:O64" si="2">SUM(M9:N9)</f>
        <v>114</v>
      </c>
      <c r="P9" s="151"/>
      <c r="Q9" s="151"/>
      <c r="R9" s="149"/>
      <c r="S9" s="151"/>
      <c r="T9" s="151"/>
      <c r="U9" s="149"/>
      <c r="V9" s="151"/>
      <c r="W9" s="151"/>
      <c r="X9" s="149"/>
      <c r="Y9" s="151">
        <v>71</v>
      </c>
      <c r="Z9" s="151">
        <v>47</v>
      </c>
      <c r="AA9" s="149">
        <f>SUM(Y9:Z9)</f>
        <v>118</v>
      </c>
      <c r="AB9" s="151"/>
      <c r="AC9" s="151"/>
      <c r="AD9" s="149"/>
      <c r="AE9" s="151"/>
      <c r="AF9" s="151"/>
      <c r="AG9" s="149"/>
      <c r="AH9" s="151">
        <v>62</v>
      </c>
      <c r="AI9" s="151">
        <v>33</v>
      </c>
      <c r="AJ9" s="149">
        <f>SUM(AH9:AI9)</f>
        <v>95</v>
      </c>
      <c r="AK9" s="151"/>
      <c r="AL9" s="151"/>
      <c r="AM9" s="149"/>
      <c r="AN9" s="151">
        <v>15</v>
      </c>
      <c r="AO9" s="151">
        <v>15</v>
      </c>
      <c r="AP9" s="149">
        <f t="shared" ref="AP9:AP64" si="3">SUM(AN9:AO9)</f>
        <v>30</v>
      </c>
      <c r="AQ9" s="151">
        <v>44</v>
      </c>
      <c r="AR9" s="151">
        <v>39</v>
      </c>
      <c r="AS9" s="149">
        <f t="shared" ref="AS9:AS64" si="4">SUM(AQ9:AR9)</f>
        <v>83</v>
      </c>
      <c r="AT9" s="151">
        <v>19</v>
      </c>
      <c r="AU9" s="151">
        <v>18</v>
      </c>
      <c r="AV9" s="149">
        <f t="shared" ref="AV9:AV64" si="5">SUM(AT9:AU9)</f>
        <v>37</v>
      </c>
      <c r="AW9" s="149">
        <v>45</v>
      </c>
      <c r="AX9" s="149">
        <f t="shared" ref="AX9:AX64" si="6">AV9+AS9+AP9+AM9+AJ9+AG9+AD9+AA9+X9+U9+R9+O9+L9+I9</f>
        <v>764</v>
      </c>
      <c r="AY9" s="152" t="s">
        <v>556</v>
      </c>
    </row>
    <row r="10" spans="1:51" s="37" customFormat="1" ht="95.25" customHeight="1" x14ac:dyDescent="0.25">
      <c r="A10" s="68">
        <v>3</v>
      </c>
      <c r="B10" s="143">
        <v>180090102003</v>
      </c>
      <c r="C10" s="70">
        <v>180000100003</v>
      </c>
      <c r="D10" s="75" t="s">
        <v>47</v>
      </c>
      <c r="E10" s="71" t="s">
        <v>48</v>
      </c>
      <c r="F10" s="72"/>
      <c r="G10" s="151">
        <v>108</v>
      </c>
      <c r="H10" s="151">
        <v>68</v>
      </c>
      <c r="I10" s="149">
        <f t="shared" si="0"/>
        <v>176</v>
      </c>
      <c r="J10" s="151">
        <v>89</v>
      </c>
      <c r="K10" s="151">
        <v>57</v>
      </c>
      <c r="L10" s="149">
        <f t="shared" si="1"/>
        <v>146</v>
      </c>
      <c r="M10" s="151">
        <v>69</v>
      </c>
      <c r="N10" s="151">
        <v>47</v>
      </c>
      <c r="O10" s="149">
        <f t="shared" si="2"/>
        <v>116</v>
      </c>
      <c r="P10" s="151"/>
      <c r="Q10" s="151"/>
      <c r="R10" s="149"/>
      <c r="S10" s="151">
        <v>73</v>
      </c>
      <c r="T10" s="151">
        <v>47</v>
      </c>
      <c r="U10" s="149">
        <f>SUM(S10:T10)</f>
        <v>120</v>
      </c>
      <c r="V10" s="151"/>
      <c r="W10" s="151"/>
      <c r="X10" s="149"/>
      <c r="Y10" s="151"/>
      <c r="Z10" s="151"/>
      <c r="AA10" s="149"/>
      <c r="AB10" s="151"/>
      <c r="AC10" s="151"/>
      <c r="AD10" s="149"/>
      <c r="AE10" s="151">
        <v>80</v>
      </c>
      <c r="AF10" s="151">
        <v>40</v>
      </c>
      <c r="AG10" s="149">
        <f>SUM(AE10:AF10)</f>
        <v>120</v>
      </c>
      <c r="AH10" s="151"/>
      <c r="AI10" s="151"/>
      <c r="AJ10" s="149"/>
      <c r="AK10" s="151"/>
      <c r="AL10" s="151"/>
      <c r="AM10" s="149"/>
      <c r="AN10" s="151">
        <v>22</v>
      </c>
      <c r="AO10" s="151">
        <v>18</v>
      </c>
      <c r="AP10" s="149">
        <f t="shared" si="3"/>
        <v>40</v>
      </c>
      <c r="AQ10" s="151">
        <v>47</v>
      </c>
      <c r="AR10" s="151">
        <v>43</v>
      </c>
      <c r="AS10" s="149">
        <f t="shared" si="4"/>
        <v>90</v>
      </c>
      <c r="AT10" s="151">
        <v>19</v>
      </c>
      <c r="AU10" s="151">
        <v>20</v>
      </c>
      <c r="AV10" s="149">
        <f t="shared" si="5"/>
        <v>39</v>
      </c>
      <c r="AW10" s="149">
        <v>45</v>
      </c>
      <c r="AX10" s="149">
        <f t="shared" si="6"/>
        <v>847</v>
      </c>
      <c r="AY10" s="152" t="s">
        <v>556</v>
      </c>
    </row>
    <row r="11" spans="1:51" s="37" customFormat="1" ht="95.25" customHeight="1" x14ac:dyDescent="0.25">
      <c r="A11" s="68">
        <v>4</v>
      </c>
      <c r="B11" s="143">
        <v>180090102004</v>
      </c>
      <c r="C11" s="70">
        <v>180000100004</v>
      </c>
      <c r="D11" s="71" t="s">
        <v>49</v>
      </c>
      <c r="E11" s="71" t="s">
        <v>50</v>
      </c>
      <c r="F11" s="72"/>
      <c r="G11" s="151">
        <v>100</v>
      </c>
      <c r="H11" s="151">
        <v>70</v>
      </c>
      <c r="I11" s="149">
        <f t="shared" si="0"/>
        <v>170</v>
      </c>
      <c r="J11" s="151">
        <v>81</v>
      </c>
      <c r="K11" s="151">
        <v>69</v>
      </c>
      <c r="L11" s="149">
        <f t="shared" si="1"/>
        <v>150</v>
      </c>
      <c r="M11" s="151">
        <v>74</v>
      </c>
      <c r="N11" s="151">
        <v>56</v>
      </c>
      <c r="O11" s="149">
        <f t="shared" si="2"/>
        <v>130</v>
      </c>
      <c r="P11" s="151">
        <v>63</v>
      </c>
      <c r="Q11" s="151">
        <v>47</v>
      </c>
      <c r="R11" s="149">
        <f>SUM(P11:Q11)</f>
        <v>110</v>
      </c>
      <c r="S11" s="151"/>
      <c r="T11" s="151"/>
      <c r="U11" s="149"/>
      <c r="V11" s="151"/>
      <c r="W11" s="151"/>
      <c r="X11" s="149"/>
      <c r="Y11" s="151"/>
      <c r="Z11" s="151"/>
      <c r="AA11" s="149"/>
      <c r="AB11" s="151">
        <v>84</v>
      </c>
      <c r="AC11" s="151">
        <v>56</v>
      </c>
      <c r="AD11" s="149">
        <f>SUM(AB11:AC11)</f>
        <v>140</v>
      </c>
      <c r="AE11" s="151"/>
      <c r="AF11" s="151"/>
      <c r="AG11" s="149"/>
      <c r="AH11" s="151"/>
      <c r="AI11" s="151"/>
      <c r="AJ11" s="149"/>
      <c r="AK11" s="151"/>
      <c r="AL11" s="151"/>
      <c r="AM11" s="149"/>
      <c r="AN11" s="151">
        <v>23</v>
      </c>
      <c r="AO11" s="151">
        <v>14</v>
      </c>
      <c r="AP11" s="149">
        <f t="shared" si="3"/>
        <v>37</v>
      </c>
      <c r="AQ11" s="151">
        <v>49</v>
      </c>
      <c r="AR11" s="151">
        <v>39</v>
      </c>
      <c r="AS11" s="149">
        <f t="shared" si="4"/>
        <v>88</v>
      </c>
      <c r="AT11" s="151">
        <v>22</v>
      </c>
      <c r="AU11" s="151">
        <v>20</v>
      </c>
      <c r="AV11" s="149">
        <f t="shared" si="5"/>
        <v>42</v>
      </c>
      <c r="AW11" s="149">
        <v>47</v>
      </c>
      <c r="AX11" s="149">
        <f t="shared" si="6"/>
        <v>867</v>
      </c>
      <c r="AY11" s="152" t="s">
        <v>556</v>
      </c>
    </row>
    <row r="12" spans="1:51" s="37" customFormat="1" ht="95.25" customHeight="1" x14ac:dyDescent="0.25">
      <c r="A12" s="68">
        <v>5</v>
      </c>
      <c r="B12" s="143">
        <v>180090102005</v>
      </c>
      <c r="C12" s="70">
        <v>180000100005</v>
      </c>
      <c r="D12" s="75" t="s">
        <v>51</v>
      </c>
      <c r="E12" s="71" t="s">
        <v>52</v>
      </c>
      <c r="F12" s="72"/>
      <c r="G12" s="151">
        <v>114</v>
      </c>
      <c r="H12" s="151">
        <v>54</v>
      </c>
      <c r="I12" s="149">
        <f t="shared" si="0"/>
        <v>168</v>
      </c>
      <c r="J12" s="151">
        <v>102</v>
      </c>
      <c r="K12" s="151">
        <v>64</v>
      </c>
      <c r="L12" s="149">
        <f t="shared" si="1"/>
        <v>166</v>
      </c>
      <c r="M12" s="151">
        <v>81</v>
      </c>
      <c r="N12" s="151">
        <v>51</v>
      </c>
      <c r="O12" s="149">
        <f t="shared" si="2"/>
        <v>132</v>
      </c>
      <c r="P12" s="151"/>
      <c r="Q12" s="151"/>
      <c r="R12" s="149"/>
      <c r="S12" s="151">
        <v>81</v>
      </c>
      <c r="T12" s="151">
        <v>50</v>
      </c>
      <c r="U12" s="149">
        <f>SUM(S12:T12)</f>
        <v>131</v>
      </c>
      <c r="V12" s="151"/>
      <c r="W12" s="151"/>
      <c r="X12" s="149"/>
      <c r="Y12" s="151"/>
      <c r="Z12" s="151"/>
      <c r="AA12" s="149"/>
      <c r="AB12" s="151"/>
      <c r="AC12" s="151"/>
      <c r="AD12" s="149"/>
      <c r="AE12" s="151"/>
      <c r="AF12" s="151"/>
      <c r="AG12" s="149"/>
      <c r="AH12" s="151"/>
      <c r="AI12" s="151"/>
      <c r="AJ12" s="149"/>
      <c r="AK12" s="151">
        <v>71</v>
      </c>
      <c r="AL12" s="151">
        <v>50</v>
      </c>
      <c r="AM12" s="149">
        <f>SUM(AK12:AL12)</f>
        <v>121</v>
      </c>
      <c r="AN12" s="151">
        <v>24</v>
      </c>
      <c r="AO12" s="151">
        <v>23</v>
      </c>
      <c r="AP12" s="149">
        <f t="shared" si="3"/>
        <v>47</v>
      </c>
      <c r="AQ12" s="151">
        <v>42</v>
      </c>
      <c r="AR12" s="151">
        <v>42</v>
      </c>
      <c r="AS12" s="149">
        <f t="shared" si="4"/>
        <v>84</v>
      </c>
      <c r="AT12" s="151">
        <v>21</v>
      </c>
      <c r="AU12" s="151">
        <v>20</v>
      </c>
      <c r="AV12" s="149">
        <f t="shared" si="5"/>
        <v>41</v>
      </c>
      <c r="AW12" s="149">
        <v>47</v>
      </c>
      <c r="AX12" s="149">
        <f t="shared" si="6"/>
        <v>890</v>
      </c>
      <c r="AY12" s="152" t="s">
        <v>556</v>
      </c>
    </row>
    <row r="13" spans="1:51" s="37" customFormat="1" ht="95.25" customHeight="1" x14ac:dyDescent="0.25">
      <c r="A13" s="68">
        <v>6</v>
      </c>
      <c r="B13" s="143">
        <v>180090102006</v>
      </c>
      <c r="C13" s="70">
        <v>180000100006</v>
      </c>
      <c r="D13" s="75" t="s">
        <v>53</v>
      </c>
      <c r="E13" s="71" t="s">
        <v>54</v>
      </c>
      <c r="F13" s="72"/>
      <c r="G13" s="151">
        <v>98</v>
      </c>
      <c r="H13" s="151">
        <v>64</v>
      </c>
      <c r="I13" s="149">
        <f t="shared" si="0"/>
        <v>162</v>
      </c>
      <c r="J13" s="151">
        <v>93</v>
      </c>
      <c r="K13" s="151">
        <v>66</v>
      </c>
      <c r="L13" s="149">
        <f t="shared" si="1"/>
        <v>159</v>
      </c>
      <c r="M13" s="151">
        <v>69</v>
      </c>
      <c r="N13" s="151">
        <v>52</v>
      </c>
      <c r="O13" s="149">
        <f t="shared" si="2"/>
        <v>121</v>
      </c>
      <c r="P13" s="151"/>
      <c r="Q13" s="151"/>
      <c r="R13" s="149"/>
      <c r="S13" s="151">
        <v>80</v>
      </c>
      <c r="T13" s="151">
        <v>46</v>
      </c>
      <c r="U13" s="149">
        <f>SUM(S13:T13)</f>
        <v>126</v>
      </c>
      <c r="V13" s="151"/>
      <c r="W13" s="151"/>
      <c r="X13" s="149"/>
      <c r="Y13" s="151"/>
      <c r="Z13" s="151"/>
      <c r="AA13" s="149"/>
      <c r="AB13" s="151">
        <v>78</v>
      </c>
      <c r="AC13" s="151">
        <v>49</v>
      </c>
      <c r="AD13" s="149">
        <f>SUM(AB13:AC13)</f>
        <v>127</v>
      </c>
      <c r="AE13" s="151"/>
      <c r="AF13" s="151"/>
      <c r="AG13" s="149"/>
      <c r="AH13" s="151"/>
      <c r="AI13" s="151"/>
      <c r="AJ13" s="149"/>
      <c r="AK13" s="151"/>
      <c r="AL13" s="151"/>
      <c r="AM13" s="149"/>
      <c r="AN13" s="151">
        <v>21</v>
      </c>
      <c r="AO13" s="151">
        <v>18</v>
      </c>
      <c r="AP13" s="149">
        <f t="shared" si="3"/>
        <v>39</v>
      </c>
      <c r="AQ13" s="151">
        <v>47</v>
      </c>
      <c r="AR13" s="151">
        <v>34</v>
      </c>
      <c r="AS13" s="149">
        <f t="shared" si="4"/>
        <v>81</v>
      </c>
      <c r="AT13" s="151">
        <v>21</v>
      </c>
      <c r="AU13" s="151">
        <v>23</v>
      </c>
      <c r="AV13" s="149">
        <f t="shared" si="5"/>
        <v>44</v>
      </c>
      <c r="AW13" s="149">
        <v>47</v>
      </c>
      <c r="AX13" s="149">
        <f t="shared" si="6"/>
        <v>859</v>
      </c>
      <c r="AY13" s="152" t="s">
        <v>556</v>
      </c>
    </row>
    <row r="14" spans="1:51" s="37" customFormat="1" ht="95.25" customHeight="1" x14ac:dyDescent="0.25">
      <c r="A14" s="68">
        <v>7</v>
      </c>
      <c r="B14" s="143">
        <v>180090102007</v>
      </c>
      <c r="C14" s="70">
        <v>180000100007</v>
      </c>
      <c r="D14" s="75" t="s">
        <v>55</v>
      </c>
      <c r="E14" s="71" t="s">
        <v>56</v>
      </c>
      <c r="F14" s="72"/>
      <c r="G14" s="151">
        <v>106</v>
      </c>
      <c r="H14" s="151">
        <v>74</v>
      </c>
      <c r="I14" s="149">
        <f t="shared" si="0"/>
        <v>180</v>
      </c>
      <c r="J14" s="151">
        <v>90</v>
      </c>
      <c r="K14" s="151">
        <v>73</v>
      </c>
      <c r="L14" s="149">
        <f t="shared" si="1"/>
        <v>163</v>
      </c>
      <c r="M14" s="151">
        <v>83</v>
      </c>
      <c r="N14" s="151">
        <v>51</v>
      </c>
      <c r="O14" s="149">
        <f t="shared" si="2"/>
        <v>134</v>
      </c>
      <c r="P14" s="151"/>
      <c r="Q14" s="151"/>
      <c r="R14" s="149"/>
      <c r="S14" s="151"/>
      <c r="T14" s="151"/>
      <c r="U14" s="149"/>
      <c r="V14" s="151"/>
      <c r="W14" s="151"/>
      <c r="X14" s="149"/>
      <c r="Y14" s="151">
        <v>80</v>
      </c>
      <c r="Z14" s="151">
        <v>51</v>
      </c>
      <c r="AA14" s="149">
        <f>SUM(Y14:Z14)</f>
        <v>131</v>
      </c>
      <c r="AB14" s="151"/>
      <c r="AC14" s="151"/>
      <c r="AD14" s="149"/>
      <c r="AE14" s="151"/>
      <c r="AF14" s="151"/>
      <c r="AG14" s="149"/>
      <c r="AH14" s="151"/>
      <c r="AI14" s="151"/>
      <c r="AJ14" s="149"/>
      <c r="AK14" s="151">
        <v>65</v>
      </c>
      <c r="AL14" s="151">
        <v>48</v>
      </c>
      <c r="AM14" s="149">
        <f>SUM(AK14:AL14)</f>
        <v>113</v>
      </c>
      <c r="AN14" s="151">
        <v>21</v>
      </c>
      <c r="AO14" s="151">
        <v>17</v>
      </c>
      <c r="AP14" s="149">
        <f t="shared" si="3"/>
        <v>38</v>
      </c>
      <c r="AQ14" s="151">
        <v>47</v>
      </c>
      <c r="AR14" s="151">
        <v>47</v>
      </c>
      <c r="AS14" s="149">
        <f t="shared" si="4"/>
        <v>94</v>
      </c>
      <c r="AT14" s="151">
        <v>19</v>
      </c>
      <c r="AU14" s="151">
        <v>23</v>
      </c>
      <c r="AV14" s="149">
        <f t="shared" si="5"/>
        <v>42</v>
      </c>
      <c r="AW14" s="149">
        <v>47</v>
      </c>
      <c r="AX14" s="149">
        <f t="shared" si="6"/>
        <v>895</v>
      </c>
      <c r="AY14" s="152" t="s">
        <v>556</v>
      </c>
    </row>
    <row r="15" spans="1:51" s="37" customFormat="1" ht="95.25" customHeight="1" x14ac:dyDescent="0.25">
      <c r="A15" s="68">
        <v>8</v>
      </c>
      <c r="B15" s="143">
        <v>180090102008</v>
      </c>
      <c r="C15" s="70">
        <v>180000100008</v>
      </c>
      <c r="D15" s="75" t="s">
        <v>57</v>
      </c>
      <c r="E15" s="71" t="s">
        <v>58</v>
      </c>
      <c r="F15" s="72"/>
      <c r="G15" s="151">
        <v>110</v>
      </c>
      <c r="H15" s="151">
        <v>69</v>
      </c>
      <c r="I15" s="149">
        <f t="shared" si="0"/>
        <v>179</v>
      </c>
      <c r="J15" s="151">
        <v>95</v>
      </c>
      <c r="K15" s="151">
        <v>66</v>
      </c>
      <c r="L15" s="149">
        <f t="shared" si="1"/>
        <v>161</v>
      </c>
      <c r="M15" s="151">
        <v>77</v>
      </c>
      <c r="N15" s="151">
        <v>50</v>
      </c>
      <c r="O15" s="149">
        <f t="shared" si="2"/>
        <v>127</v>
      </c>
      <c r="P15" s="151"/>
      <c r="Q15" s="151"/>
      <c r="R15" s="149"/>
      <c r="S15" s="151"/>
      <c r="T15" s="151"/>
      <c r="U15" s="149"/>
      <c r="V15" s="151"/>
      <c r="W15" s="151"/>
      <c r="X15" s="149"/>
      <c r="Y15" s="151">
        <v>83</v>
      </c>
      <c r="Z15" s="151">
        <v>56</v>
      </c>
      <c r="AA15" s="149">
        <f>SUM(Y15:Z15)</f>
        <v>139</v>
      </c>
      <c r="AB15" s="151">
        <v>80</v>
      </c>
      <c r="AC15" s="151">
        <v>51</v>
      </c>
      <c r="AD15" s="149">
        <f>SUM(AB15:AC15)</f>
        <v>131</v>
      </c>
      <c r="AE15" s="151"/>
      <c r="AF15" s="151"/>
      <c r="AG15" s="149"/>
      <c r="AH15" s="151"/>
      <c r="AI15" s="151"/>
      <c r="AJ15" s="149"/>
      <c r="AK15" s="151"/>
      <c r="AL15" s="151"/>
      <c r="AM15" s="149"/>
      <c r="AN15" s="151">
        <v>23</v>
      </c>
      <c r="AO15" s="151">
        <v>18</v>
      </c>
      <c r="AP15" s="149">
        <f t="shared" si="3"/>
        <v>41</v>
      </c>
      <c r="AQ15" s="151">
        <v>46</v>
      </c>
      <c r="AR15" s="151">
        <v>37</v>
      </c>
      <c r="AS15" s="149">
        <f t="shared" si="4"/>
        <v>83</v>
      </c>
      <c r="AT15" s="151">
        <v>18</v>
      </c>
      <c r="AU15" s="151">
        <v>21</v>
      </c>
      <c r="AV15" s="149">
        <f t="shared" si="5"/>
        <v>39</v>
      </c>
      <c r="AW15" s="149">
        <v>47</v>
      </c>
      <c r="AX15" s="149">
        <f t="shared" si="6"/>
        <v>900</v>
      </c>
      <c r="AY15" s="152" t="s">
        <v>556</v>
      </c>
    </row>
    <row r="16" spans="1:51" s="37" customFormat="1" ht="95.25" customHeight="1" x14ac:dyDescent="0.25">
      <c r="A16" s="68">
        <v>9</v>
      </c>
      <c r="B16" s="143">
        <v>180090102009</v>
      </c>
      <c r="C16" s="70">
        <v>180000100009</v>
      </c>
      <c r="D16" s="71" t="s">
        <v>59</v>
      </c>
      <c r="E16" s="71" t="s">
        <v>60</v>
      </c>
      <c r="F16" s="72"/>
      <c r="G16" s="151">
        <v>92</v>
      </c>
      <c r="H16" s="151">
        <v>66</v>
      </c>
      <c r="I16" s="149">
        <f t="shared" si="0"/>
        <v>158</v>
      </c>
      <c r="J16" s="151">
        <v>83</v>
      </c>
      <c r="K16" s="151">
        <v>60</v>
      </c>
      <c r="L16" s="149">
        <f t="shared" si="1"/>
        <v>143</v>
      </c>
      <c r="M16" s="151">
        <v>78</v>
      </c>
      <c r="N16" s="151">
        <v>49</v>
      </c>
      <c r="O16" s="149">
        <f t="shared" si="2"/>
        <v>127</v>
      </c>
      <c r="P16" s="151"/>
      <c r="Q16" s="151"/>
      <c r="R16" s="149"/>
      <c r="S16" s="151"/>
      <c r="T16" s="151"/>
      <c r="U16" s="149"/>
      <c r="V16" s="151"/>
      <c r="W16" s="151"/>
      <c r="X16" s="149"/>
      <c r="Y16" s="151">
        <v>71</v>
      </c>
      <c r="Z16" s="151">
        <v>45</v>
      </c>
      <c r="AA16" s="149">
        <f>SUM(Y16:Z16)</f>
        <v>116</v>
      </c>
      <c r="AB16" s="151"/>
      <c r="AC16" s="151"/>
      <c r="AD16" s="149"/>
      <c r="AE16" s="151"/>
      <c r="AF16" s="151"/>
      <c r="AG16" s="149"/>
      <c r="AH16" s="151"/>
      <c r="AI16" s="151"/>
      <c r="AJ16" s="149"/>
      <c r="AK16" s="151">
        <v>54</v>
      </c>
      <c r="AL16" s="151">
        <v>37</v>
      </c>
      <c r="AM16" s="149">
        <f>SUM(AK16:AL16)</f>
        <v>91</v>
      </c>
      <c r="AN16" s="151">
        <v>14</v>
      </c>
      <c r="AO16" s="151">
        <v>18</v>
      </c>
      <c r="AP16" s="149">
        <f t="shared" si="3"/>
        <v>32</v>
      </c>
      <c r="AQ16" s="151">
        <v>40</v>
      </c>
      <c r="AR16" s="151">
        <v>34</v>
      </c>
      <c r="AS16" s="149">
        <f t="shared" si="4"/>
        <v>74</v>
      </c>
      <c r="AT16" s="151">
        <v>19</v>
      </c>
      <c r="AU16" s="151">
        <v>21</v>
      </c>
      <c r="AV16" s="149">
        <f t="shared" si="5"/>
        <v>40</v>
      </c>
      <c r="AW16" s="149">
        <v>45</v>
      </c>
      <c r="AX16" s="149">
        <f t="shared" si="6"/>
        <v>781</v>
      </c>
      <c r="AY16" s="152" t="s">
        <v>556</v>
      </c>
    </row>
    <row r="17" spans="1:51" s="37" customFormat="1" ht="95.25" customHeight="1" x14ac:dyDescent="0.25">
      <c r="A17" s="68">
        <v>10</v>
      </c>
      <c r="B17" s="143">
        <v>180090102010</v>
      </c>
      <c r="C17" s="70">
        <v>180000100010</v>
      </c>
      <c r="D17" s="71" t="s">
        <v>61</v>
      </c>
      <c r="E17" s="71" t="s">
        <v>62</v>
      </c>
      <c r="F17" s="72"/>
      <c r="G17" s="151">
        <v>96</v>
      </c>
      <c r="H17" s="151">
        <v>73</v>
      </c>
      <c r="I17" s="149">
        <f t="shared" si="0"/>
        <v>169</v>
      </c>
      <c r="J17" s="151">
        <v>81</v>
      </c>
      <c r="K17" s="151">
        <v>71</v>
      </c>
      <c r="L17" s="149">
        <f t="shared" si="1"/>
        <v>152</v>
      </c>
      <c r="M17" s="151">
        <v>72</v>
      </c>
      <c r="N17" s="151">
        <v>49</v>
      </c>
      <c r="O17" s="149">
        <f t="shared" si="2"/>
        <v>121</v>
      </c>
      <c r="P17" s="151"/>
      <c r="Q17" s="151"/>
      <c r="R17" s="149"/>
      <c r="S17" s="151"/>
      <c r="T17" s="151"/>
      <c r="U17" s="149"/>
      <c r="V17" s="151">
        <v>63</v>
      </c>
      <c r="W17" s="151">
        <v>52</v>
      </c>
      <c r="X17" s="149">
        <f>SUM(V17:W17)</f>
        <v>115</v>
      </c>
      <c r="Y17" s="151"/>
      <c r="Z17" s="151"/>
      <c r="AA17" s="149"/>
      <c r="AB17" s="151">
        <v>59</v>
      </c>
      <c r="AC17" s="151">
        <v>45</v>
      </c>
      <c r="AD17" s="149">
        <f>SUM(AB17:AC17)</f>
        <v>104</v>
      </c>
      <c r="AE17" s="151"/>
      <c r="AF17" s="151"/>
      <c r="AG17" s="149"/>
      <c r="AH17" s="151"/>
      <c r="AI17" s="151"/>
      <c r="AJ17" s="149"/>
      <c r="AK17" s="151"/>
      <c r="AL17" s="151"/>
      <c r="AM17" s="149"/>
      <c r="AN17" s="151">
        <v>15</v>
      </c>
      <c r="AO17" s="151">
        <v>19</v>
      </c>
      <c r="AP17" s="149">
        <f t="shared" si="3"/>
        <v>34</v>
      </c>
      <c r="AQ17" s="151">
        <v>42</v>
      </c>
      <c r="AR17" s="151">
        <v>38</v>
      </c>
      <c r="AS17" s="149">
        <f t="shared" si="4"/>
        <v>80</v>
      </c>
      <c r="AT17" s="151">
        <v>23</v>
      </c>
      <c r="AU17" s="151">
        <v>20</v>
      </c>
      <c r="AV17" s="149">
        <f t="shared" si="5"/>
        <v>43</v>
      </c>
      <c r="AW17" s="149">
        <v>47</v>
      </c>
      <c r="AX17" s="149">
        <f t="shared" si="6"/>
        <v>818</v>
      </c>
      <c r="AY17" s="152" t="s">
        <v>556</v>
      </c>
    </row>
    <row r="18" spans="1:51" s="37" customFormat="1" ht="95.25" customHeight="1" x14ac:dyDescent="0.25">
      <c r="A18" s="68">
        <v>11</v>
      </c>
      <c r="B18" s="143">
        <v>180090102011</v>
      </c>
      <c r="C18" s="70">
        <v>180000100011</v>
      </c>
      <c r="D18" s="75" t="s">
        <v>63</v>
      </c>
      <c r="E18" s="71" t="s">
        <v>64</v>
      </c>
      <c r="F18" s="72"/>
      <c r="G18" s="151">
        <v>108</v>
      </c>
      <c r="H18" s="151">
        <v>74</v>
      </c>
      <c r="I18" s="149">
        <f t="shared" si="0"/>
        <v>182</v>
      </c>
      <c r="J18" s="151">
        <v>89</v>
      </c>
      <c r="K18" s="151">
        <v>44</v>
      </c>
      <c r="L18" s="149">
        <f t="shared" si="1"/>
        <v>133</v>
      </c>
      <c r="M18" s="151">
        <v>81</v>
      </c>
      <c r="N18" s="151">
        <v>45</v>
      </c>
      <c r="O18" s="149">
        <f t="shared" si="2"/>
        <v>126</v>
      </c>
      <c r="P18" s="151"/>
      <c r="Q18" s="151"/>
      <c r="R18" s="149"/>
      <c r="S18" s="151"/>
      <c r="T18" s="151"/>
      <c r="U18" s="149"/>
      <c r="V18" s="151"/>
      <c r="W18" s="151"/>
      <c r="X18" s="149"/>
      <c r="Y18" s="151">
        <v>59</v>
      </c>
      <c r="Z18" s="151">
        <v>44</v>
      </c>
      <c r="AA18" s="149">
        <f>SUM(Y18:Z18)</f>
        <v>103</v>
      </c>
      <c r="AB18" s="151"/>
      <c r="AC18" s="151"/>
      <c r="AD18" s="149"/>
      <c r="AE18" s="151"/>
      <c r="AF18" s="151"/>
      <c r="AG18" s="149"/>
      <c r="AH18" s="151">
        <v>57</v>
      </c>
      <c r="AI18" s="151">
        <v>34</v>
      </c>
      <c r="AJ18" s="149">
        <f>SUM(AH18:AI18)</f>
        <v>91</v>
      </c>
      <c r="AK18" s="151"/>
      <c r="AL18" s="151"/>
      <c r="AM18" s="149"/>
      <c r="AN18" s="151">
        <v>18</v>
      </c>
      <c r="AO18" s="151">
        <v>14</v>
      </c>
      <c r="AP18" s="149">
        <f t="shared" si="3"/>
        <v>32</v>
      </c>
      <c r="AQ18" s="151">
        <v>45</v>
      </c>
      <c r="AR18" s="151">
        <v>37</v>
      </c>
      <c r="AS18" s="149">
        <f t="shared" si="4"/>
        <v>82</v>
      </c>
      <c r="AT18" s="151">
        <v>21</v>
      </c>
      <c r="AU18" s="151">
        <v>21</v>
      </c>
      <c r="AV18" s="149">
        <f t="shared" si="5"/>
        <v>42</v>
      </c>
      <c r="AW18" s="149">
        <v>45</v>
      </c>
      <c r="AX18" s="149">
        <f t="shared" si="6"/>
        <v>791</v>
      </c>
      <c r="AY18" s="152" t="s">
        <v>556</v>
      </c>
    </row>
    <row r="19" spans="1:51" s="37" customFormat="1" ht="95.25" customHeight="1" x14ac:dyDescent="0.25">
      <c r="A19" s="68">
        <v>12</v>
      </c>
      <c r="B19" s="143">
        <v>180090102012</v>
      </c>
      <c r="C19" s="70">
        <v>180000100012</v>
      </c>
      <c r="D19" s="75" t="s">
        <v>65</v>
      </c>
      <c r="E19" s="71" t="s">
        <v>66</v>
      </c>
      <c r="F19" s="72"/>
      <c r="G19" s="151">
        <v>86</v>
      </c>
      <c r="H19" s="151">
        <v>40</v>
      </c>
      <c r="I19" s="149">
        <f t="shared" si="0"/>
        <v>126</v>
      </c>
      <c r="J19" s="151">
        <v>48</v>
      </c>
      <c r="K19" s="151">
        <v>60</v>
      </c>
      <c r="L19" s="149">
        <f t="shared" si="1"/>
        <v>108</v>
      </c>
      <c r="M19" s="151">
        <v>47</v>
      </c>
      <c r="N19" s="151">
        <v>51</v>
      </c>
      <c r="O19" s="149">
        <f t="shared" si="2"/>
        <v>98</v>
      </c>
      <c r="P19" s="151"/>
      <c r="Q19" s="151"/>
      <c r="R19" s="149"/>
      <c r="S19" s="151"/>
      <c r="T19" s="151"/>
      <c r="U19" s="149"/>
      <c r="V19" s="151"/>
      <c r="W19" s="151"/>
      <c r="X19" s="149"/>
      <c r="Y19" s="151">
        <v>53</v>
      </c>
      <c r="Z19" s="151">
        <v>45</v>
      </c>
      <c r="AA19" s="149">
        <f>SUM(Y19:Z19)</f>
        <v>98</v>
      </c>
      <c r="AB19" s="151">
        <v>78</v>
      </c>
      <c r="AC19" s="151">
        <v>49</v>
      </c>
      <c r="AD19" s="149">
        <f>SUM(AB19:AC19)</f>
        <v>127</v>
      </c>
      <c r="AE19" s="151"/>
      <c r="AF19" s="151"/>
      <c r="AG19" s="149"/>
      <c r="AH19" s="151"/>
      <c r="AI19" s="151"/>
      <c r="AJ19" s="149"/>
      <c r="AK19" s="151"/>
      <c r="AL19" s="151"/>
      <c r="AM19" s="149"/>
      <c r="AN19" s="153">
        <v>15</v>
      </c>
      <c r="AO19" s="151">
        <v>17</v>
      </c>
      <c r="AP19" s="149">
        <f t="shared" si="3"/>
        <v>32</v>
      </c>
      <c r="AQ19" s="154">
        <v>42</v>
      </c>
      <c r="AR19" s="151">
        <v>29</v>
      </c>
      <c r="AS19" s="149">
        <f t="shared" si="4"/>
        <v>71</v>
      </c>
      <c r="AT19" s="154">
        <v>21</v>
      </c>
      <c r="AU19" s="151">
        <v>19</v>
      </c>
      <c r="AV19" s="149">
        <f t="shared" si="5"/>
        <v>40</v>
      </c>
      <c r="AW19" s="149">
        <v>45</v>
      </c>
      <c r="AX19" s="149">
        <f t="shared" si="6"/>
        <v>700</v>
      </c>
      <c r="AY19" s="152" t="s">
        <v>556</v>
      </c>
    </row>
    <row r="20" spans="1:51" s="37" customFormat="1" ht="95.25" customHeight="1" x14ac:dyDescent="0.25">
      <c r="A20" s="68">
        <v>13</v>
      </c>
      <c r="B20" s="143">
        <v>180090102013</v>
      </c>
      <c r="C20" s="70">
        <v>180000100013</v>
      </c>
      <c r="D20" s="75" t="s">
        <v>67</v>
      </c>
      <c r="E20" s="71" t="s">
        <v>68</v>
      </c>
      <c r="F20" s="72"/>
      <c r="G20" s="151">
        <v>110</v>
      </c>
      <c r="H20" s="151">
        <v>66</v>
      </c>
      <c r="I20" s="149">
        <f t="shared" si="0"/>
        <v>176</v>
      </c>
      <c r="J20" s="151">
        <v>84</v>
      </c>
      <c r="K20" s="151">
        <v>73</v>
      </c>
      <c r="L20" s="149">
        <f t="shared" si="1"/>
        <v>157</v>
      </c>
      <c r="M20" s="151">
        <v>83</v>
      </c>
      <c r="N20" s="151">
        <v>53</v>
      </c>
      <c r="O20" s="149">
        <f t="shared" si="2"/>
        <v>136</v>
      </c>
      <c r="P20" s="151"/>
      <c r="Q20" s="151"/>
      <c r="R20" s="149"/>
      <c r="S20" s="151">
        <v>79</v>
      </c>
      <c r="T20" s="151">
        <v>50</v>
      </c>
      <c r="U20" s="149">
        <f>SUM(S20:T20)</f>
        <v>129</v>
      </c>
      <c r="V20" s="151"/>
      <c r="W20" s="151"/>
      <c r="X20" s="149"/>
      <c r="Y20" s="151"/>
      <c r="Z20" s="151"/>
      <c r="AA20" s="149"/>
      <c r="AB20" s="151">
        <v>75</v>
      </c>
      <c r="AC20" s="151">
        <v>49</v>
      </c>
      <c r="AD20" s="149">
        <f>SUM(AB20:AC20)</f>
        <v>124</v>
      </c>
      <c r="AE20" s="151"/>
      <c r="AF20" s="151"/>
      <c r="AG20" s="149"/>
      <c r="AH20" s="151"/>
      <c r="AI20" s="151"/>
      <c r="AJ20" s="149"/>
      <c r="AK20" s="151"/>
      <c r="AL20" s="151"/>
      <c r="AM20" s="149"/>
      <c r="AN20" s="151">
        <v>18</v>
      </c>
      <c r="AO20" s="151">
        <v>21</v>
      </c>
      <c r="AP20" s="149">
        <f t="shared" si="3"/>
        <v>39</v>
      </c>
      <c r="AQ20" s="151">
        <v>46</v>
      </c>
      <c r="AR20" s="151">
        <v>44</v>
      </c>
      <c r="AS20" s="149">
        <f t="shared" si="4"/>
        <v>90</v>
      </c>
      <c r="AT20" s="151">
        <v>20</v>
      </c>
      <c r="AU20" s="151">
        <v>20</v>
      </c>
      <c r="AV20" s="149">
        <f t="shared" si="5"/>
        <v>40</v>
      </c>
      <c r="AW20" s="149">
        <v>50</v>
      </c>
      <c r="AX20" s="149">
        <f t="shared" si="6"/>
        <v>891</v>
      </c>
      <c r="AY20" s="152" t="s">
        <v>556</v>
      </c>
    </row>
    <row r="21" spans="1:51" s="37" customFormat="1" ht="95.25" customHeight="1" x14ac:dyDescent="0.25">
      <c r="A21" s="68">
        <v>14</v>
      </c>
      <c r="B21" s="143">
        <v>180090102014</v>
      </c>
      <c r="C21" s="70">
        <v>180000100014</v>
      </c>
      <c r="D21" s="75" t="s">
        <v>69</v>
      </c>
      <c r="E21" s="77" t="s">
        <v>70</v>
      </c>
      <c r="F21" s="72"/>
      <c r="G21" s="151">
        <v>110</v>
      </c>
      <c r="H21" s="151">
        <v>73</v>
      </c>
      <c r="I21" s="149">
        <f t="shared" si="0"/>
        <v>183</v>
      </c>
      <c r="J21" s="151">
        <v>99</v>
      </c>
      <c r="K21" s="151">
        <v>57</v>
      </c>
      <c r="L21" s="149">
        <f t="shared" si="1"/>
        <v>156</v>
      </c>
      <c r="M21" s="151">
        <v>77</v>
      </c>
      <c r="N21" s="151">
        <v>51</v>
      </c>
      <c r="O21" s="149">
        <f t="shared" si="2"/>
        <v>128</v>
      </c>
      <c r="P21" s="151"/>
      <c r="Q21" s="151"/>
      <c r="R21" s="149"/>
      <c r="S21" s="151"/>
      <c r="T21" s="151"/>
      <c r="U21" s="149"/>
      <c r="V21" s="151">
        <v>75</v>
      </c>
      <c r="W21" s="151">
        <v>42</v>
      </c>
      <c r="X21" s="149">
        <f>SUM(V21:W21)</f>
        <v>117</v>
      </c>
      <c r="Y21" s="151"/>
      <c r="Z21" s="151"/>
      <c r="AA21" s="149"/>
      <c r="AB21" s="151">
        <v>78</v>
      </c>
      <c r="AC21" s="151">
        <v>50</v>
      </c>
      <c r="AD21" s="149">
        <f>SUM(AB21:AC21)</f>
        <v>128</v>
      </c>
      <c r="AE21" s="151"/>
      <c r="AF21" s="151"/>
      <c r="AG21" s="149"/>
      <c r="AH21" s="151"/>
      <c r="AI21" s="151"/>
      <c r="AJ21" s="149"/>
      <c r="AK21" s="151"/>
      <c r="AL21" s="151"/>
      <c r="AM21" s="149"/>
      <c r="AN21" s="151">
        <v>19</v>
      </c>
      <c r="AO21" s="151">
        <v>16</v>
      </c>
      <c r="AP21" s="149">
        <f t="shared" si="3"/>
        <v>35</v>
      </c>
      <c r="AQ21" s="151">
        <v>43</v>
      </c>
      <c r="AR21" s="151">
        <v>36</v>
      </c>
      <c r="AS21" s="149">
        <f t="shared" si="4"/>
        <v>79</v>
      </c>
      <c r="AT21" s="151">
        <v>17</v>
      </c>
      <c r="AU21" s="151">
        <v>21</v>
      </c>
      <c r="AV21" s="149">
        <f t="shared" si="5"/>
        <v>38</v>
      </c>
      <c r="AW21" s="149">
        <v>49</v>
      </c>
      <c r="AX21" s="149">
        <f t="shared" si="6"/>
        <v>864</v>
      </c>
      <c r="AY21" s="152" t="s">
        <v>556</v>
      </c>
    </row>
    <row r="22" spans="1:51" s="37" customFormat="1" ht="95.25" customHeight="1" x14ac:dyDescent="0.25">
      <c r="A22" s="68">
        <v>15</v>
      </c>
      <c r="B22" s="143">
        <v>180090102015</v>
      </c>
      <c r="C22" s="70">
        <v>180000100015</v>
      </c>
      <c r="D22" s="75" t="s">
        <v>71</v>
      </c>
      <c r="E22" s="77" t="s">
        <v>72</v>
      </c>
      <c r="F22" s="72"/>
      <c r="G22" s="151">
        <v>106</v>
      </c>
      <c r="H22" s="151">
        <v>40</v>
      </c>
      <c r="I22" s="149">
        <f t="shared" si="0"/>
        <v>146</v>
      </c>
      <c r="J22" s="151">
        <v>87</v>
      </c>
      <c r="K22" s="151">
        <v>72</v>
      </c>
      <c r="L22" s="149">
        <f t="shared" si="1"/>
        <v>159</v>
      </c>
      <c r="M22" s="151">
        <v>72</v>
      </c>
      <c r="N22" s="151">
        <v>51</v>
      </c>
      <c r="O22" s="149">
        <f t="shared" si="2"/>
        <v>123</v>
      </c>
      <c r="P22" s="151">
        <v>57</v>
      </c>
      <c r="Q22" s="151">
        <v>50</v>
      </c>
      <c r="R22" s="149">
        <f>SUM(P22:Q22)</f>
        <v>107</v>
      </c>
      <c r="S22" s="151"/>
      <c r="T22" s="151"/>
      <c r="U22" s="149"/>
      <c r="V22" s="151"/>
      <c r="W22" s="151"/>
      <c r="X22" s="149"/>
      <c r="Y22" s="151"/>
      <c r="Z22" s="151"/>
      <c r="AA22" s="149"/>
      <c r="AB22" s="151"/>
      <c r="AC22" s="151"/>
      <c r="AD22" s="149"/>
      <c r="AE22" s="151"/>
      <c r="AF22" s="151"/>
      <c r="AG22" s="149"/>
      <c r="AH22" s="151"/>
      <c r="AI22" s="151"/>
      <c r="AJ22" s="149"/>
      <c r="AK22" s="151">
        <v>74</v>
      </c>
      <c r="AL22" s="151">
        <v>53</v>
      </c>
      <c r="AM22" s="149">
        <f>SUM(AK22:AL22)</f>
        <v>127</v>
      </c>
      <c r="AN22" s="151">
        <v>18</v>
      </c>
      <c r="AO22" s="151">
        <v>19</v>
      </c>
      <c r="AP22" s="149">
        <f t="shared" si="3"/>
        <v>37</v>
      </c>
      <c r="AQ22" s="151">
        <v>45</v>
      </c>
      <c r="AR22" s="151">
        <v>45</v>
      </c>
      <c r="AS22" s="149">
        <f t="shared" si="4"/>
        <v>90</v>
      </c>
      <c r="AT22" s="151">
        <v>20</v>
      </c>
      <c r="AU22" s="151">
        <v>20</v>
      </c>
      <c r="AV22" s="149">
        <f t="shared" si="5"/>
        <v>40</v>
      </c>
      <c r="AW22" s="149">
        <v>49</v>
      </c>
      <c r="AX22" s="149">
        <f t="shared" si="6"/>
        <v>829</v>
      </c>
      <c r="AY22" s="152" t="s">
        <v>556</v>
      </c>
    </row>
    <row r="23" spans="1:51" s="37" customFormat="1" ht="95.25" customHeight="1" x14ac:dyDescent="0.25">
      <c r="A23" s="68">
        <v>16</v>
      </c>
      <c r="B23" s="143">
        <v>180090102016</v>
      </c>
      <c r="C23" s="70">
        <v>180000100016</v>
      </c>
      <c r="D23" s="75" t="s">
        <v>73</v>
      </c>
      <c r="E23" s="71" t="s">
        <v>74</v>
      </c>
      <c r="F23" s="72"/>
      <c r="G23" s="151">
        <v>106</v>
      </c>
      <c r="H23" s="151">
        <v>68</v>
      </c>
      <c r="I23" s="149">
        <f t="shared" si="0"/>
        <v>174</v>
      </c>
      <c r="J23" s="151">
        <v>96</v>
      </c>
      <c r="K23" s="151">
        <v>58</v>
      </c>
      <c r="L23" s="149">
        <f t="shared" si="1"/>
        <v>154</v>
      </c>
      <c r="M23" s="151">
        <v>84</v>
      </c>
      <c r="N23" s="151">
        <v>50</v>
      </c>
      <c r="O23" s="149">
        <f t="shared" si="2"/>
        <v>134</v>
      </c>
      <c r="P23" s="151"/>
      <c r="Q23" s="151"/>
      <c r="R23" s="149"/>
      <c r="S23" s="151"/>
      <c r="T23" s="151"/>
      <c r="U23" s="149"/>
      <c r="V23" s="151">
        <v>75</v>
      </c>
      <c r="W23" s="151">
        <v>47</v>
      </c>
      <c r="X23" s="149">
        <f>SUM(V23:W23)</f>
        <v>122</v>
      </c>
      <c r="Y23" s="151"/>
      <c r="Z23" s="151"/>
      <c r="AA23" s="149"/>
      <c r="AB23" s="151">
        <v>74</v>
      </c>
      <c r="AC23" s="151">
        <v>46</v>
      </c>
      <c r="AD23" s="149">
        <f>SUM(AB23:AC23)</f>
        <v>120</v>
      </c>
      <c r="AE23" s="151"/>
      <c r="AF23" s="151"/>
      <c r="AG23" s="149"/>
      <c r="AH23" s="151"/>
      <c r="AI23" s="151"/>
      <c r="AJ23" s="149"/>
      <c r="AK23" s="151"/>
      <c r="AL23" s="151"/>
      <c r="AM23" s="149"/>
      <c r="AN23" s="151">
        <v>18</v>
      </c>
      <c r="AO23" s="151">
        <v>17</v>
      </c>
      <c r="AP23" s="149">
        <f t="shared" si="3"/>
        <v>35</v>
      </c>
      <c r="AQ23" s="151">
        <v>41</v>
      </c>
      <c r="AR23" s="151">
        <v>34</v>
      </c>
      <c r="AS23" s="149">
        <f t="shared" si="4"/>
        <v>75</v>
      </c>
      <c r="AT23" s="151">
        <v>20</v>
      </c>
      <c r="AU23" s="151">
        <v>23</v>
      </c>
      <c r="AV23" s="149">
        <f t="shared" si="5"/>
        <v>43</v>
      </c>
      <c r="AW23" s="149">
        <v>44</v>
      </c>
      <c r="AX23" s="149">
        <f t="shared" si="6"/>
        <v>857</v>
      </c>
      <c r="AY23" s="152" t="s">
        <v>556</v>
      </c>
    </row>
    <row r="24" spans="1:51" s="37" customFormat="1" ht="95.25" customHeight="1" x14ac:dyDescent="0.25">
      <c r="A24" s="68">
        <v>17</v>
      </c>
      <c r="B24" s="143">
        <v>180090102017</v>
      </c>
      <c r="C24" s="70">
        <v>180000100017</v>
      </c>
      <c r="D24" s="71" t="s">
        <v>75</v>
      </c>
      <c r="E24" s="71" t="s">
        <v>76</v>
      </c>
      <c r="F24" s="72"/>
      <c r="G24" s="151">
        <v>80</v>
      </c>
      <c r="H24" s="151">
        <v>73</v>
      </c>
      <c r="I24" s="149">
        <f t="shared" si="0"/>
        <v>153</v>
      </c>
      <c r="J24" s="151">
        <v>95</v>
      </c>
      <c r="K24" s="151">
        <v>50</v>
      </c>
      <c r="L24" s="149">
        <f t="shared" si="1"/>
        <v>145</v>
      </c>
      <c r="M24" s="151">
        <v>71</v>
      </c>
      <c r="N24" s="151">
        <v>52</v>
      </c>
      <c r="O24" s="149">
        <f t="shared" si="2"/>
        <v>123</v>
      </c>
      <c r="P24" s="151"/>
      <c r="Q24" s="151"/>
      <c r="R24" s="149"/>
      <c r="S24" s="151">
        <v>75</v>
      </c>
      <c r="T24" s="151">
        <v>47</v>
      </c>
      <c r="U24" s="149">
        <f>SUM(S24:T24)</f>
        <v>122</v>
      </c>
      <c r="V24" s="151"/>
      <c r="W24" s="151"/>
      <c r="X24" s="149"/>
      <c r="Y24" s="151"/>
      <c r="Z24" s="151"/>
      <c r="AA24" s="149"/>
      <c r="AB24" s="151"/>
      <c r="AC24" s="151"/>
      <c r="AD24" s="149"/>
      <c r="AE24" s="151"/>
      <c r="AF24" s="151"/>
      <c r="AG24" s="149"/>
      <c r="AH24" s="151"/>
      <c r="AI24" s="151"/>
      <c r="AJ24" s="149"/>
      <c r="AK24" s="151">
        <v>60</v>
      </c>
      <c r="AL24" s="151">
        <v>38</v>
      </c>
      <c r="AM24" s="149">
        <f>SUM(AK24:AL24)</f>
        <v>98</v>
      </c>
      <c r="AN24" s="151">
        <v>16</v>
      </c>
      <c r="AO24" s="151">
        <v>15</v>
      </c>
      <c r="AP24" s="149">
        <f t="shared" si="3"/>
        <v>31</v>
      </c>
      <c r="AQ24" s="151">
        <v>47</v>
      </c>
      <c r="AR24" s="151">
        <v>40</v>
      </c>
      <c r="AS24" s="149">
        <f t="shared" si="4"/>
        <v>87</v>
      </c>
      <c r="AT24" s="151">
        <v>19</v>
      </c>
      <c r="AU24" s="151">
        <v>22</v>
      </c>
      <c r="AV24" s="149">
        <f t="shared" si="5"/>
        <v>41</v>
      </c>
      <c r="AW24" s="149">
        <v>44</v>
      </c>
      <c r="AX24" s="149">
        <f t="shared" si="6"/>
        <v>800</v>
      </c>
      <c r="AY24" s="152" t="s">
        <v>556</v>
      </c>
    </row>
    <row r="25" spans="1:51" s="37" customFormat="1" ht="95.25" customHeight="1" x14ac:dyDescent="0.25">
      <c r="A25" s="68">
        <v>18</v>
      </c>
      <c r="B25" s="143">
        <v>180090102018</v>
      </c>
      <c r="C25" s="70">
        <v>180000100018</v>
      </c>
      <c r="D25" s="75" t="s">
        <v>77</v>
      </c>
      <c r="E25" s="71" t="s">
        <v>78</v>
      </c>
      <c r="F25" s="72"/>
      <c r="G25" s="151">
        <v>116</v>
      </c>
      <c r="H25" s="151">
        <v>66</v>
      </c>
      <c r="I25" s="149">
        <f t="shared" si="0"/>
        <v>182</v>
      </c>
      <c r="J25" s="151">
        <v>78</v>
      </c>
      <c r="K25" s="151">
        <v>75</v>
      </c>
      <c r="L25" s="149">
        <f t="shared" si="1"/>
        <v>153</v>
      </c>
      <c r="M25" s="151">
        <v>78</v>
      </c>
      <c r="N25" s="151">
        <v>53</v>
      </c>
      <c r="O25" s="149">
        <f t="shared" si="2"/>
        <v>131</v>
      </c>
      <c r="P25" s="151">
        <v>72</v>
      </c>
      <c r="Q25" s="151">
        <v>50</v>
      </c>
      <c r="R25" s="149">
        <f>SUM(P25:Q25)</f>
        <v>122</v>
      </c>
      <c r="S25" s="151"/>
      <c r="T25" s="151"/>
      <c r="U25" s="149"/>
      <c r="V25" s="151"/>
      <c r="W25" s="151"/>
      <c r="X25" s="149"/>
      <c r="Y25" s="151"/>
      <c r="Z25" s="151"/>
      <c r="AA25" s="149"/>
      <c r="AB25" s="151"/>
      <c r="AC25" s="151"/>
      <c r="AD25" s="149"/>
      <c r="AE25" s="151"/>
      <c r="AF25" s="151"/>
      <c r="AG25" s="149"/>
      <c r="AH25" s="151"/>
      <c r="AI25" s="151"/>
      <c r="AJ25" s="149"/>
      <c r="AK25" s="151">
        <v>81</v>
      </c>
      <c r="AL25" s="151">
        <v>53</v>
      </c>
      <c r="AM25" s="149">
        <f>SUM(AK25:AL25)</f>
        <v>134</v>
      </c>
      <c r="AN25" s="151">
        <v>20</v>
      </c>
      <c r="AO25" s="151">
        <v>19</v>
      </c>
      <c r="AP25" s="149">
        <f t="shared" si="3"/>
        <v>39</v>
      </c>
      <c r="AQ25" s="151">
        <v>45</v>
      </c>
      <c r="AR25" s="151">
        <v>43</v>
      </c>
      <c r="AS25" s="149">
        <f t="shared" si="4"/>
        <v>88</v>
      </c>
      <c r="AT25" s="151">
        <v>20</v>
      </c>
      <c r="AU25" s="151">
        <v>22</v>
      </c>
      <c r="AV25" s="149">
        <f t="shared" si="5"/>
        <v>42</v>
      </c>
      <c r="AW25" s="149">
        <v>50</v>
      </c>
      <c r="AX25" s="149">
        <f t="shared" si="6"/>
        <v>891</v>
      </c>
      <c r="AY25" s="152" t="s">
        <v>556</v>
      </c>
    </row>
    <row r="26" spans="1:51" s="37" customFormat="1" ht="95.25" customHeight="1" x14ac:dyDescent="0.25">
      <c r="A26" s="68">
        <v>19</v>
      </c>
      <c r="B26" s="143">
        <v>180090102019</v>
      </c>
      <c r="C26" s="70">
        <v>180000100019</v>
      </c>
      <c r="D26" s="75" t="s">
        <v>79</v>
      </c>
      <c r="E26" s="71" t="s">
        <v>80</v>
      </c>
      <c r="F26" s="72"/>
      <c r="G26" s="151">
        <v>116</v>
      </c>
      <c r="H26" s="151">
        <v>68</v>
      </c>
      <c r="I26" s="149">
        <f t="shared" si="0"/>
        <v>184</v>
      </c>
      <c r="J26" s="151">
        <v>78</v>
      </c>
      <c r="K26" s="151">
        <v>76</v>
      </c>
      <c r="L26" s="149">
        <f t="shared" si="1"/>
        <v>154</v>
      </c>
      <c r="M26" s="151">
        <v>75</v>
      </c>
      <c r="N26" s="151">
        <v>49</v>
      </c>
      <c r="O26" s="149">
        <f t="shared" si="2"/>
        <v>124</v>
      </c>
      <c r="P26" s="151"/>
      <c r="Q26" s="151"/>
      <c r="R26" s="149"/>
      <c r="S26" s="151"/>
      <c r="T26" s="151"/>
      <c r="U26" s="149"/>
      <c r="V26" s="151"/>
      <c r="W26" s="151"/>
      <c r="X26" s="149"/>
      <c r="Y26" s="151">
        <v>71</v>
      </c>
      <c r="Z26" s="151">
        <v>47</v>
      </c>
      <c r="AA26" s="149">
        <f>SUM(Y26:Z26)</f>
        <v>118</v>
      </c>
      <c r="AB26" s="151"/>
      <c r="AC26" s="151"/>
      <c r="AD26" s="149"/>
      <c r="AE26" s="151"/>
      <c r="AF26" s="151"/>
      <c r="AG26" s="149"/>
      <c r="AH26" s="151">
        <v>65</v>
      </c>
      <c r="AI26" s="151">
        <v>42</v>
      </c>
      <c r="AJ26" s="149">
        <f>SUM(AH26:AI26)</f>
        <v>107</v>
      </c>
      <c r="AK26" s="151"/>
      <c r="AL26" s="151"/>
      <c r="AM26" s="149"/>
      <c r="AN26" s="151">
        <v>21</v>
      </c>
      <c r="AO26" s="151">
        <v>15</v>
      </c>
      <c r="AP26" s="149">
        <f t="shared" si="3"/>
        <v>36</v>
      </c>
      <c r="AQ26" s="151">
        <v>46</v>
      </c>
      <c r="AR26" s="151">
        <v>36</v>
      </c>
      <c r="AS26" s="149">
        <f t="shared" si="4"/>
        <v>82</v>
      </c>
      <c r="AT26" s="151">
        <v>21</v>
      </c>
      <c r="AU26" s="151">
        <v>19</v>
      </c>
      <c r="AV26" s="149">
        <f t="shared" si="5"/>
        <v>40</v>
      </c>
      <c r="AW26" s="149">
        <v>50</v>
      </c>
      <c r="AX26" s="149">
        <f t="shared" si="6"/>
        <v>845</v>
      </c>
      <c r="AY26" s="152" t="s">
        <v>556</v>
      </c>
    </row>
    <row r="27" spans="1:51" s="37" customFormat="1" ht="95.25" customHeight="1" x14ac:dyDescent="0.25">
      <c r="A27" s="68">
        <v>20</v>
      </c>
      <c r="B27" s="143">
        <v>180090102020</v>
      </c>
      <c r="C27" s="70">
        <v>180000100020</v>
      </c>
      <c r="D27" s="75" t="s">
        <v>81</v>
      </c>
      <c r="E27" s="71" t="s">
        <v>82</v>
      </c>
      <c r="F27" s="72"/>
      <c r="G27" s="151">
        <v>90</v>
      </c>
      <c r="H27" s="151">
        <v>64</v>
      </c>
      <c r="I27" s="149">
        <f t="shared" si="0"/>
        <v>154</v>
      </c>
      <c r="J27" s="151">
        <v>75</v>
      </c>
      <c r="K27" s="151">
        <v>46</v>
      </c>
      <c r="L27" s="149">
        <f t="shared" si="1"/>
        <v>121</v>
      </c>
      <c r="M27" s="151">
        <v>74</v>
      </c>
      <c r="N27" s="151">
        <v>43</v>
      </c>
      <c r="O27" s="149">
        <f t="shared" si="2"/>
        <v>117</v>
      </c>
      <c r="P27" s="151"/>
      <c r="Q27" s="151"/>
      <c r="R27" s="149"/>
      <c r="S27" s="151"/>
      <c r="T27" s="151"/>
      <c r="U27" s="149"/>
      <c r="V27" s="151">
        <v>83</v>
      </c>
      <c r="W27" s="151">
        <v>35</v>
      </c>
      <c r="X27" s="149">
        <f>SUM(V27:W27)</f>
        <v>118</v>
      </c>
      <c r="Y27" s="151"/>
      <c r="Z27" s="151"/>
      <c r="AA27" s="149"/>
      <c r="AB27" s="151"/>
      <c r="AC27" s="151"/>
      <c r="AD27" s="149"/>
      <c r="AE27" s="151"/>
      <c r="AF27" s="151"/>
      <c r="AG27" s="149"/>
      <c r="AH27" s="151">
        <v>54</v>
      </c>
      <c r="AI27" s="151">
        <v>31</v>
      </c>
      <c r="AJ27" s="149">
        <f>SUM(AH27:AI27)</f>
        <v>85</v>
      </c>
      <c r="AK27" s="151"/>
      <c r="AL27" s="151"/>
      <c r="AM27" s="149"/>
      <c r="AN27" s="151">
        <v>14</v>
      </c>
      <c r="AO27" s="151">
        <v>14</v>
      </c>
      <c r="AP27" s="149">
        <f t="shared" si="3"/>
        <v>28</v>
      </c>
      <c r="AQ27" s="151">
        <v>38</v>
      </c>
      <c r="AR27" s="151">
        <v>37</v>
      </c>
      <c r="AS27" s="149">
        <f t="shared" si="4"/>
        <v>75</v>
      </c>
      <c r="AT27" s="151">
        <v>21</v>
      </c>
      <c r="AU27" s="151">
        <v>20</v>
      </c>
      <c r="AV27" s="149">
        <f t="shared" si="5"/>
        <v>41</v>
      </c>
      <c r="AW27" s="149">
        <v>44</v>
      </c>
      <c r="AX27" s="149">
        <f t="shared" si="6"/>
        <v>739</v>
      </c>
      <c r="AY27" s="152" t="s">
        <v>556</v>
      </c>
    </row>
    <row r="28" spans="1:51" s="37" customFormat="1" ht="95.25" customHeight="1" x14ac:dyDescent="0.25">
      <c r="A28" s="68">
        <v>21</v>
      </c>
      <c r="B28" s="143">
        <v>180090102021</v>
      </c>
      <c r="C28" s="70">
        <v>180000100021</v>
      </c>
      <c r="D28" s="75" t="s">
        <v>601</v>
      </c>
      <c r="E28" s="71" t="s">
        <v>83</v>
      </c>
      <c r="F28" s="72"/>
      <c r="G28" s="151">
        <v>114</v>
      </c>
      <c r="H28" s="151">
        <v>70</v>
      </c>
      <c r="I28" s="149">
        <f t="shared" si="0"/>
        <v>184</v>
      </c>
      <c r="J28" s="151">
        <v>93</v>
      </c>
      <c r="K28" s="151">
        <v>73</v>
      </c>
      <c r="L28" s="149">
        <f t="shared" si="1"/>
        <v>166</v>
      </c>
      <c r="M28" s="151">
        <v>83</v>
      </c>
      <c r="N28" s="151">
        <v>52</v>
      </c>
      <c r="O28" s="149">
        <f t="shared" si="2"/>
        <v>135</v>
      </c>
      <c r="P28" s="151"/>
      <c r="Q28" s="151"/>
      <c r="R28" s="149"/>
      <c r="S28" s="151">
        <v>84</v>
      </c>
      <c r="T28" s="151">
        <v>48</v>
      </c>
      <c r="U28" s="149">
        <f>SUM(S28:T28)</f>
        <v>132</v>
      </c>
      <c r="V28" s="151"/>
      <c r="W28" s="151"/>
      <c r="X28" s="149"/>
      <c r="Y28" s="151"/>
      <c r="Z28" s="151"/>
      <c r="AA28" s="149"/>
      <c r="AB28" s="151"/>
      <c r="AC28" s="151"/>
      <c r="AD28" s="149"/>
      <c r="AE28" s="151">
        <v>84</v>
      </c>
      <c r="AF28" s="151">
        <v>42</v>
      </c>
      <c r="AG28" s="149">
        <f>SUM(AE28:AF28)</f>
        <v>126</v>
      </c>
      <c r="AH28" s="151"/>
      <c r="AI28" s="151"/>
      <c r="AJ28" s="149"/>
      <c r="AK28" s="151"/>
      <c r="AL28" s="151"/>
      <c r="AM28" s="149"/>
      <c r="AN28" s="151">
        <v>19</v>
      </c>
      <c r="AO28" s="151">
        <v>16</v>
      </c>
      <c r="AP28" s="149">
        <f t="shared" si="3"/>
        <v>35</v>
      </c>
      <c r="AQ28" s="151">
        <v>46</v>
      </c>
      <c r="AR28" s="151">
        <v>43</v>
      </c>
      <c r="AS28" s="149">
        <f t="shared" si="4"/>
        <v>89</v>
      </c>
      <c r="AT28" s="151">
        <v>19</v>
      </c>
      <c r="AU28" s="151">
        <v>17</v>
      </c>
      <c r="AV28" s="149">
        <f t="shared" si="5"/>
        <v>36</v>
      </c>
      <c r="AW28" s="149">
        <v>49</v>
      </c>
      <c r="AX28" s="149">
        <f t="shared" si="6"/>
        <v>903</v>
      </c>
      <c r="AY28" s="152" t="s">
        <v>556</v>
      </c>
    </row>
    <row r="29" spans="1:51" s="37" customFormat="1" ht="95.25" customHeight="1" x14ac:dyDescent="0.25">
      <c r="A29" s="68">
        <v>22</v>
      </c>
      <c r="B29" s="143">
        <v>180090102022</v>
      </c>
      <c r="C29" s="70">
        <v>180000100022</v>
      </c>
      <c r="D29" s="71" t="s">
        <v>84</v>
      </c>
      <c r="E29" s="71" t="s">
        <v>85</v>
      </c>
      <c r="F29" s="72"/>
      <c r="G29" s="151">
        <v>116</v>
      </c>
      <c r="H29" s="151">
        <v>68</v>
      </c>
      <c r="I29" s="149">
        <f t="shared" si="0"/>
        <v>184</v>
      </c>
      <c r="J29" s="151">
        <v>93</v>
      </c>
      <c r="K29" s="151">
        <v>68</v>
      </c>
      <c r="L29" s="149">
        <f t="shared" si="1"/>
        <v>161</v>
      </c>
      <c r="M29" s="151">
        <v>76</v>
      </c>
      <c r="N29" s="151">
        <v>51</v>
      </c>
      <c r="O29" s="149">
        <f t="shared" si="2"/>
        <v>127</v>
      </c>
      <c r="P29" s="151"/>
      <c r="Q29" s="151"/>
      <c r="R29" s="149"/>
      <c r="S29" s="151">
        <v>77</v>
      </c>
      <c r="T29" s="151">
        <v>51</v>
      </c>
      <c r="U29" s="149">
        <f>SUM(S29:T29)</f>
        <v>128</v>
      </c>
      <c r="V29" s="151"/>
      <c r="W29" s="151"/>
      <c r="X29" s="149"/>
      <c r="Y29" s="151"/>
      <c r="Z29" s="151"/>
      <c r="AA29" s="149"/>
      <c r="AB29" s="151"/>
      <c r="AC29" s="151"/>
      <c r="AD29" s="149"/>
      <c r="AE29" s="151">
        <v>81</v>
      </c>
      <c r="AF29" s="151">
        <v>45</v>
      </c>
      <c r="AG29" s="149">
        <f>SUM(AE29:AF29)</f>
        <v>126</v>
      </c>
      <c r="AH29" s="151"/>
      <c r="AI29" s="151"/>
      <c r="AJ29" s="149"/>
      <c r="AK29" s="151"/>
      <c r="AL29" s="151"/>
      <c r="AM29" s="149"/>
      <c r="AN29" s="151">
        <v>19</v>
      </c>
      <c r="AO29" s="151">
        <v>18</v>
      </c>
      <c r="AP29" s="149">
        <f t="shared" si="3"/>
        <v>37</v>
      </c>
      <c r="AQ29" s="151">
        <v>48</v>
      </c>
      <c r="AR29" s="151">
        <v>46</v>
      </c>
      <c r="AS29" s="149">
        <f t="shared" si="4"/>
        <v>94</v>
      </c>
      <c r="AT29" s="151">
        <v>17</v>
      </c>
      <c r="AU29" s="151">
        <v>19</v>
      </c>
      <c r="AV29" s="149">
        <f t="shared" si="5"/>
        <v>36</v>
      </c>
      <c r="AW29" s="149">
        <v>49</v>
      </c>
      <c r="AX29" s="149">
        <f t="shared" si="6"/>
        <v>893</v>
      </c>
      <c r="AY29" s="152" t="s">
        <v>556</v>
      </c>
    </row>
    <row r="30" spans="1:51" s="37" customFormat="1" ht="95.25" customHeight="1" x14ac:dyDescent="0.25">
      <c r="A30" s="68">
        <v>23</v>
      </c>
      <c r="B30" s="143">
        <v>180090102023</v>
      </c>
      <c r="C30" s="70">
        <v>180000100023</v>
      </c>
      <c r="D30" s="75" t="s">
        <v>86</v>
      </c>
      <c r="E30" s="71" t="s">
        <v>87</v>
      </c>
      <c r="F30" s="72"/>
      <c r="G30" s="151">
        <v>116</v>
      </c>
      <c r="H30" s="151">
        <v>66</v>
      </c>
      <c r="I30" s="149">
        <f t="shared" si="0"/>
        <v>182</v>
      </c>
      <c r="J30" s="151">
        <v>89</v>
      </c>
      <c r="K30" s="151">
        <v>48</v>
      </c>
      <c r="L30" s="149">
        <f t="shared" si="1"/>
        <v>137</v>
      </c>
      <c r="M30" s="151">
        <v>76</v>
      </c>
      <c r="N30" s="151">
        <v>46</v>
      </c>
      <c r="O30" s="149">
        <f t="shared" si="2"/>
        <v>122</v>
      </c>
      <c r="P30" s="151"/>
      <c r="Q30" s="151"/>
      <c r="R30" s="149"/>
      <c r="S30" s="151"/>
      <c r="T30" s="151"/>
      <c r="U30" s="149"/>
      <c r="V30" s="151"/>
      <c r="W30" s="151"/>
      <c r="X30" s="149"/>
      <c r="Y30" s="151">
        <v>72</v>
      </c>
      <c r="Z30" s="151">
        <v>40</v>
      </c>
      <c r="AA30" s="149">
        <f>SUM(Y30:Z30)</f>
        <v>112</v>
      </c>
      <c r="AB30" s="151"/>
      <c r="AC30" s="151"/>
      <c r="AD30" s="149"/>
      <c r="AE30" s="151"/>
      <c r="AF30" s="151"/>
      <c r="AG30" s="149"/>
      <c r="AH30" s="151">
        <v>66</v>
      </c>
      <c r="AI30" s="151">
        <v>38</v>
      </c>
      <c r="AJ30" s="149">
        <f>SUM(AH30:AI30)</f>
        <v>104</v>
      </c>
      <c r="AK30" s="151"/>
      <c r="AL30" s="151"/>
      <c r="AM30" s="149"/>
      <c r="AN30" s="151">
        <v>16</v>
      </c>
      <c r="AO30" s="151">
        <v>16</v>
      </c>
      <c r="AP30" s="149">
        <f t="shared" si="3"/>
        <v>32</v>
      </c>
      <c r="AQ30" s="151">
        <v>46</v>
      </c>
      <c r="AR30" s="151">
        <v>38</v>
      </c>
      <c r="AS30" s="149">
        <f t="shared" si="4"/>
        <v>84</v>
      </c>
      <c r="AT30" s="151">
        <v>19</v>
      </c>
      <c r="AU30" s="151">
        <v>23</v>
      </c>
      <c r="AV30" s="149">
        <f t="shared" si="5"/>
        <v>42</v>
      </c>
      <c r="AW30" s="149">
        <v>47</v>
      </c>
      <c r="AX30" s="149">
        <f t="shared" si="6"/>
        <v>815</v>
      </c>
      <c r="AY30" s="152" t="s">
        <v>556</v>
      </c>
    </row>
    <row r="31" spans="1:51" s="37" customFormat="1" ht="95.25" customHeight="1" x14ac:dyDescent="0.25">
      <c r="A31" s="68">
        <v>24</v>
      </c>
      <c r="B31" s="143">
        <v>180090102024</v>
      </c>
      <c r="C31" s="70">
        <v>180000100024</v>
      </c>
      <c r="D31" s="75" t="s">
        <v>88</v>
      </c>
      <c r="E31" s="71" t="s">
        <v>89</v>
      </c>
      <c r="F31" s="72"/>
      <c r="G31" s="151">
        <v>116</v>
      </c>
      <c r="H31" s="151">
        <v>71</v>
      </c>
      <c r="I31" s="149">
        <f t="shared" si="0"/>
        <v>187</v>
      </c>
      <c r="J31" s="151">
        <v>95</v>
      </c>
      <c r="K31" s="151">
        <v>73</v>
      </c>
      <c r="L31" s="149">
        <f t="shared" si="1"/>
        <v>168</v>
      </c>
      <c r="M31" s="151">
        <v>76</v>
      </c>
      <c r="N31" s="151">
        <v>52</v>
      </c>
      <c r="O31" s="149">
        <f t="shared" si="2"/>
        <v>128</v>
      </c>
      <c r="P31" s="151"/>
      <c r="Q31" s="151"/>
      <c r="R31" s="149"/>
      <c r="S31" s="151">
        <v>79</v>
      </c>
      <c r="T31" s="151">
        <v>51</v>
      </c>
      <c r="U31" s="149">
        <f>SUM(S31:T31)</f>
        <v>130</v>
      </c>
      <c r="V31" s="151"/>
      <c r="W31" s="151"/>
      <c r="X31" s="149"/>
      <c r="Y31" s="151"/>
      <c r="Z31" s="151"/>
      <c r="AA31" s="149"/>
      <c r="AB31" s="151"/>
      <c r="AC31" s="151"/>
      <c r="AD31" s="149"/>
      <c r="AE31" s="151">
        <v>80</v>
      </c>
      <c r="AF31" s="151">
        <v>42</v>
      </c>
      <c r="AG31" s="149">
        <f>SUM(AE31:AF31)</f>
        <v>122</v>
      </c>
      <c r="AH31" s="151"/>
      <c r="AI31" s="151"/>
      <c r="AJ31" s="149"/>
      <c r="AK31" s="151"/>
      <c r="AL31" s="151"/>
      <c r="AM31" s="149"/>
      <c r="AN31" s="151">
        <v>19</v>
      </c>
      <c r="AO31" s="151">
        <v>14</v>
      </c>
      <c r="AP31" s="149">
        <f t="shared" si="3"/>
        <v>33</v>
      </c>
      <c r="AQ31" s="151">
        <v>47</v>
      </c>
      <c r="AR31" s="151">
        <v>41</v>
      </c>
      <c r="AS31" s="149">
        <f t="shared" si="4"/>
        <v>88</v>
      </c>
      <c r="AT31" s="151">
        <v>19</v>
      </c>
      <c r="AU31" s="151">
        <v>20</v>
      </c>
      <c r="AV31" s="149">
        <f t="shared" si="5"/>
        <v>39</v>
      </c>
      <c r="AW31" s="149">
        <v>48</v>
      </c>
      <c r="AX31" s="149">
        <f t="shared" si="6"/>
        <v>895</v>
      </c>
      <c r="AY31" s="152" t="s">
        <v>556</v>
      </c>
    </row>
    <row r="32" spans="1:51" s="37" customFormat="1" ht="95.25" customHeight="1" x14ac:dyDescent="0.25">
      <c r="A32" s="68">
        <v>25</v>
      </c>
      <c r="B32" s="143">
        <v>180090102025</v>
      </c>
      <c r="C32" s="70">
        <v>180000100025</v>
      </c>
      <c r="D32" s="75" t="s">
        <v>90</v>
      </c>
      <c r="E32" s="71" t="s">
        <v>91</v>
      </c>
      <c r="F32" s="72"/>
      <c r="G32" s="151">
        <v>108</v>
      </c>
      <c r="H32" s="151">
        <v>68</v>
      </c>
      <c r="I32" s="149">
        <f t="shared" si="0"/>
        <v>176</v>
      </c>
      <c r="J32" s="151">
        <v>93</v>
      </c>
      <c r="K32" s="151">
        <v>50</v>
      </c>
      <c r="L32" s="149">
        <f t="shared" si="1"/>
        <v>143</v>
      </c>
      <c r="M32" s="151">
        <v>78</v>
      </c>
      <c r="N32" s="151">
        <v>54</v>
      </c>
      <c r="O32" s="149">
        <f t="shared" si="2"/>
        <v>132</v>
      </c>
      <c r="P32" s="151"/>
      <c r="Q32" s="151"/>
      <c r="R32" s="149"/>
      <c r="S32" s="151"/>
      <c r="T32" s="151"/>
      <c r="U32" s="149"/>
      <c r="V32" s="151">
        <v>77</v>
      </c>
      <c r="W32" s="151">
        <v>40</v>
      </c>
      <c r="X32" s="149">
        <f>SUM(V32:W32)</f>
        <v>117</v>
      </c>
      <c r="Y32" s="151"/>
      <c r="Z32" s="151"/>
      <c r="AA32" s="149"/>
      <c r="AB32" s="151"/>
      <c r="AC32" s="151"/>
      <c r="AD32" s="149"/>
      <c r="AE32" s="151">
        <v>80</v>
      </c>
      <c r="AF32" s="151">
        <v>30</v>
      </c>
      <c r="AG32" s="149">
        <f>SUM(AE32:AF32)</f>
        <v>110</v>
      </c>
      <c r="AH32" s="151"/>
      <c r="AI32" s="151"/>
      <c r="AJ32" s="149"/>
      <c r="AK32" s="151"/>
      <c r="AL32" s="151"/>
      <c r="AM32" s="149"/>
      <c r="AN32" s="151">
        <v>18</v>
      </c>
      <c r="AO32" s="151">
        <v>17</v>
      </c>
      <c r="AP32" s="149">
        <f t="shared" si="3"/>
        <v>35</v>
      </c>
      <c r="AQ32" s="151">
        <v>45</v>
      </c>
      <c r="AR32" s="151">
        <v>39</v>
      </c>
      <c r="AS32" s="149">
        <f t="shared" si="4"/>
        <v>84</v>
      </c>
      <c r="AT32" s="151">
        <v>20</v>
      </c>
      <c r="AU32" s="151">
        <v>21</v>
      </c>
      <c r="AV32" s="149">
        <f t="shared" si="5"/>
        <v>41</v>
      </c>
      <c r="AW32" s="149">
        <v>48</v>
      </c>
      <c r="AX32" s="149">
        <f t="shared" si="6"/>
        <v>838</v>
      </c>
      <c r="AY32" s="152" t="s">
        <v>556</v>
      </c>
    </row>
    <row r="33" spans="1:51" s="37" customFormat="1" ht="95.25" customHeight="1" x14ac:dyDescent="0.25">
      <c r="A33" s="68">
        <v>26</v>
      </c>
      <c r="B33" s="143">
        <v>180090102026</v>
      </c>
      <c r="C33" s="70">
        <v>180000100026</v>
      </c>
      <c r="D33" s="77" t="s">
        <v>40</v>
      </c>
      <c r="E33" s="77" t="s">
        <v>92</v>
      </c>
      <c r="F33" s="72"/>
      <c r="G33" s="151">
        <v>96</v>
      </c>
      <c r="H33" s="151">
        <v>66</v>
      </c>
      <c r="I33" s="149">
        <f t="shared" si="0"/>
        <v>162</v>
      </c>
      <c r="J33" s="151">
        <v>93</v>
      </c>
      <c r="K33" s="151">
        <v>73</v>
      </c>
      <c r="L33" s="149">
        <f t="shared" si="1"/>
        <v>166</v>
      </c>
      <c r="M33" s="151">
        <v>66</v>
      </c>
      <c r="N33" s="151">
        <v>49</v>
      </c>
      <c r="O33" s="149">
        <f t="shared" si="2"/>
        <v>115</v>
      </c>
      <c r="P33" s="151"/>
      <c r="Q33" s="151"/>
      <c r="R33" s="149"/>
      <c r="S33" s="151"/>
      <c r="T33" s="151"/>
      <c r="U33" s="149"/>
      <c r="V33" s="151"/>
      <c r="W33" s="151"/>
      <c r="X33" s="149"/>
      <c r="Y33" s="151">
        <v>75</v>
      </c>
      <c r="Z33" s="151">
        <v>48</v>
      </c>
      <c r="AA33" s="149">
        <f>SUM(Y33:Z33)</f>
        <v>123</v>
      </c>
      <c r="AB33" s="151"/>
      <c r="AC33" s="151"/>
      <c r="AD33" s="149"/>
      <c r="AE33" s="151"/>
      <c r="AF33" s="151"/>
      <c r="AG33" s="149"/>
      <c r="AH33" s="151"/>
      <c r="AI33" s="151"/>
      <c r="AJ33" s="149"/>
      <c r="AK33" s="151">
        <v>72</v>
      </c>
      <c r="AL33" s="151">
        <v>31</v>
      </c>
      <c r="AM33" s="149">
        <f>SUM(AK33:AL33)</f>
        <v>103</v>
      </c>
      <c r="AN33" s="151">
        <v>16</v>
      </c>
      <c r="AO33" s="151">
        <v>15</v>
      </c>
      <c r="AP33" s="149">
        <f t="shared" si="3"/>
        <v>31</v>
      </c>
      <c r="AQ33" s="151">
        <v>45</v>
      </c>
      <c r="AR33" s="151">
        <v>43</v>
      </c>
      <c r="AS33" s="149">
        <f t="shared" si="4"/>
        <v>88</v>
      </c>
      <c r="AT33" s="151">
        <v>15</v>
      </c>
      <c r="AU33" s="151">
        <v>22</v>
      </c>
      <c r="AV33" s="149">
        <f t="shared" si="5"/>
        <v>37</v>
      </c>
      <c r="AW33" s="149">
        <v>50</v>
      </c>
      <c r="AX33" s="149">
        <f t="shared" si="6"/>
        <v>825</v>
      </c>
      <c r="AY33" s="152" t="s">
        <v>556</v>
      </c>
    </row>
    <row r="34" spans="1:51" s="37" customFormat="1" ht="95.25" customHeight="1" x14ac:dyDescent="0.25">
      <c r="A34" s="68">
        <v>27</v>
      </c>
      <c r="B34" s="143">
        <v>180090102027</v>
      </c>
      <c r="C34" s="70">
        <v>180000100027</v>
      </c>
      <c r="D34" s="77" t="s">
        <v>93</v>
      </c>
      <c r="E34" s="77" t="s">
        <v>94</v>
      </c>
      <c r="F34" s="72"/>
      <c r="G34" s="151">
        <v>116</v>
      </c>
      <c r="H34" s="151">
        <v>70</v>
      </c>
      <c r="I34" s="149">
        <f t="shared" si="0"/>
        <v>186</v>
      </c>
      <c r="J34" s="151">
        <v>87</v>
      </c>
      <c r="K34" s="151">
        <v>53</v>
      </c>
      <c r="L34" s="149">
        <f t="shared" si="1"/>
        <v>140</v>
      </c>
      <c r="M34" s="151">
        <v>80</v>
      </c>
      <c r="N34" s="151">
        <v>33</v>
      </c>
      <c r="O34" s="149">
        <f t="shared" si="2"/>
        <v>113</v>
      </c>
      <c r="P34" s="151"/>
      <c r="Q34" s="151"/>
      <c r="R34" s="149"/>
      <c r="S34" s="151">
        <v>82</v>
      </c>
      <c r="T34" s="151">
        <v>47</v>
      </c>
      <c r="U34" s="149">
        <f>SUM(S34:T34)</f>
        <v>129</v>
      </c>
      <c r="V34" s="151"/>
      <c r="W34" s="151"/>
      <c r="X34" s="149"/>
      <c r="Y34" s="151"/>
      <c r="Z34" s="151"/>
      <c r="AA34" s="149"/>
      <c r="AB34" s="151"/>
      <c r="AC34" s="151"/>
      <c r="AD34" s="149"/>
      <c r="AE34" s="151"/>
      <c r="AF34" s="151"/>
      <c r="AG34" s="149"/>
      <c r="AH34" s="151"/>
      <c r="AI34" s="151"/>
      <c r="AJ34" s="149"/>
      <c r="AK34" s="151">
        <v>69</v>
      </c>
      <c r="AL34" s="151">
        <v>43</v>
      </c>
      <c r="AM34" s="149">
        <f>SUM(AK34:AL34)</f>
        <v>112</v>
      </c>
      <c r="AN34" s="151">
        <v>21</v>
      </c>
      <c r="AO34" s="151">
        <v>18</v>
      </c>
      <c r="AP34" s="149">
        <f t="shared" si="3"/>
        <v>39</v>
      </c>
      <c r="AQ34" s="151">
        <v>44</v>
      </c>
      <c r="AR34" s="151">
        <v>42</v>
      </c>
      <c r="AS34" s="149">
        <f t="shared" si="4"/>
        <v>86</v>
      </c>
      <c r="AT34" s="151">
        <v>22</v>
      </c>
      <c r="AU34" s="151">
        <v>17</v>
      </c>
      <c r="AV34" s="149">
        <f t="shared" si="5"/>
        <v>39</v>
      </c>
      <c r="AW34" s="149">
        <v>50</v>
      </c>
      <c r="AX34" s="149">
        <f t="shared" si="6"/>
        <v>844</v>
      </c>
      <c r="AY34" s="152" t="s">
        <v>556</v>
      </c>
    </row>
    <row r="35" spans="1:51" s="37" customFormat="1" ht="95.25" customHeight="1" x14ac:dyDescent="0.25">
      <c r="A35" s="68">
        <v>28</v>
      </c>
      <c r="B35" s="143">
        <v>180090102028</v>
      </c>
      <c r="C35" s="70">
        <v>180000100028</v>
      </c>
      <c r="D35" s="77" t="s">
        <v>95</v>
      </c>
      <c r="E35" s="77" t="s">
        <v>96</v>
      </c>
      <c r="F35" s="72"/>
      <c r="G35" s="151">
        <v>114</v>
      </c>
      <c r="H35" s="151">
        <v>68</v>
      </c>
      <c r="I35" s="149">
        <f t="shared" si="0"/>
        <v>182</v>
      </c>
      <c r="J35" s="151">
        <v>84</v>
      </c>
      <c r="K35" s="151">
        <v>57</v>
      </c>
      <c r="L35" s="149">
        <f t="shared" si="1"/>
        <v>141</v>
      </c>
      <c r="M35" s="151">
        <v>83</v>
      </c>
      <c r="N35" s="151">
        <v>55</v>
      </c>
      <c r="O35" s="149">
        <f t="shared" si="2"/>
        <v>138</v>
      </c>
      <c r="P35" s="151">
        <v>57</v>
      </c>
      <c r="Q35" s="151">
        <v>54</v>
      </c>
      <c r="R35" s="149">
        <f>SUM(P35:Q35)</f>
        <v>111</v>
      </c>
      <c r="S35" s="151"/>
      <c r="T35" s="151"/>
      <c r="U35" s="149"/>
      <c r="V35" s="151"/>
      <c r="W35" s="151"/>
      <c r="X35" s="149"/>
      <c r="Y35" s="151"/>
      <c r="Z35" s="151"/>
      <c r="AA35" s="149"/>
      <c r="AB35" s="151"/>
      <c r="AC35" s="151"/>
      <c r="AD35" s="149"/>
      <c r="AE35" s="151"/>
      <c r="AF35" s="151"/>
      <c r="AG35" s="149"/>
      <c r="AH35" s="151"/>
      <c r="AI35" s="151"/>
      <c r="AJ35" s="149"/>
      <c r="AK35" s="151">
        <v>75</v>
      </c>
      <c r="AL35" s="151">
        <v>55</v>
      </c>
      <c r="AM35" s="149">
        <f>SUM(AK35:AL35)</f>
        <v>130</v>
      </c>
      <c r="AN35" s="151">
        <v>16</v>
      </c>
      <c r="AO35" s="151">
        <v>16</v>
      </c>
      <c r="AP35" s="149">
        <f t="shared" si="3"/>
        <v>32</v>
      </c>
      <c r="AQ35" s="151">
        <v>48</v>
      </c>
      <c r="AR35" s="151">
        <v>44</v>
      </c>
      <c r="AS35" s="149">
        <f t="shared" si="4"/>
        <v>92</v>
      </c>
      <c r="AT35" s="151">
        <v>23</v>
      </c>
      <c r="AU35" s="151">
        <v>21</v>
      </c>
      <c r="AV35" s="149">
        <f t="shared" si="5"/>
        <v>44</v>
      </c>
      <c r="AW35" s="149">
        <v>50</v>
      </c>
      <c r="AX35" s="149">
        <f t="shared" si="6"/>
        <v>870</v>
      </c>
      <c r="AY35" s="152" t="s">
        <v>556</v>
      </c>
    </row>
    <row r="36" spans="1:51" s="37" customFormat="1" ht="95.25" customHeight="1" x14ac:dyDescent="0.25">
      <c r="A36" s="68">
        <v>29</v>
      </c>
      <c r="B36" s="143">
        <v>180090102029</v>
      </c>
      <c r="C36" s="70">
        <v>180000100029</v>
      </c>
      <c r="D36" s="77" t="s">
        <v>97</v>
      </c>
      <c r="E36" s="77" t="s">
        <v>98</v>
      </c>
      <c r="F36" s="72"/>
      <c r="G36" s="151">
        <v>110</v>
      </c>
      <c r="H36" s="151">
        <v>65</v>
      </c>
      <c r="I36" s="149">
        <f t="shared" si="0"/>
        <v>175</v>
      </c>
      <c r="J36" s="151">
        <v>72</v>
      </c>
      <c r="K36" s="151">
        <v>57</v>
      </c>
      <c r="L36" s="149">
        <f t="shared" si="1"/>
        <v>129</v>
      </c>
      <c r="M36" s="151">
        <v>83</v>
      </c>
      <c r="N36" s="151">
        <v>53</v>
      </c>
      <c r="O36" s="149">
        <f t="shared" si="2"/>
        <v>136</v>
      </c>
      <c r="P36" s="151"/>
      <c r="Q36" s="151"/>
      <c r="R36" s="149"/>
      <c r="S36" s="151">
        <v>81</v>
      </c>
      <c r="T36" s="151">
        <v>49</v>
      </c>
      <c r="U36" s="149">
        <f>SUM(S36:T36)</f>
        <v>130</v>
      </c>
      <c r="V36" s="151"/>
      <c r="W36" s="151"/>
      <c r="X36" s="149"/>
      <c r="Y36" s="151"/>
      <c r="Z36" s="151"/>
      <c r="AA36" s="149"/>
      <c r="AB36" s="151">
        <v>81</v>
      </c>
      <c r="AC36" s="151">
        <v>47</v>
      </c>
      <c r="AD36" s="149">
        <f>SUM(AB36:AC36)</f>
        <v>128</v>
      </c>
      <c r="AE36" s="151"/>
      <c r="AF36" s="151"/>
      <c r="AG36" s="149"/>
      <c r="AH36" s="151"/>
      <c r="AI36" s="151"/>
      <c r="AJ36" s="149"/>
      <c r="AK36" s="151"/>
      <c r="AL36" s="151"/>
      <c r="AM36" s="149"/>
      <c r="AN36" s="151">
        <v>20</v>
      </c>
      <c r="AO36" s="151">
        <v>17</v>
      </c>
      <c r="AP36" s="149">
        <f t="shared" si="3"/>
        <v>37</v>
      </c>
      <c r="AQ36" s="151">
        <v>48</v>
      </c>
      <c r="AR36" s="151">
        <v>29</v>
      </c>
      <c r="AS36" s="149">
        <f t="shared" si="4"/>
        <v>77</v>
      </c>
      <c r="AT36" s="151">
        <v>22</v>
      </c>
      <c r="AU36" s="151">
        <v>22</v>
      </c>
      <c r="AV36" s="149">
        <f t="shared" si="5"/>
        <v>44</v>
      </c>
      <c r="AW36" s="149">
        <v>50</v>
      </c>
      <c r="AX36" s="149">
        <f t="shared" si="6"/>
        <v>856</v>
      </c>
      <c r="AY36" s="152" t="s">
        <v>556</v>
      </c>
    </row>
    <row r="37" spans="1:51" s="37" customFormat="1" ht="95.25" customHeight="1" x14ac:dyDescent="0.25">
      <c r="A37" s="68">
        <v>30</v>
      </c>
      <c r="B37" s="143">
        <v>180090102030</v>
      </c>
      <c r="C37" s="70">
        <v>180000100030</v>
      </c>
      <c r="D37" s="77" t="s">
        <v>99</v>
      </c>
      <c r="E37" s="77" t="s">
        <v>100</v>
      </c>
      <c r="F37" s="72"/>
      <c r="G37" s="151">
        <v>104</v>
      </c>
      <c r="H37" s="151">
        <v>68</v>
      </c>
      <c r="I37" s="149">
        <f t="shared" si="0"/>
        <v>172</v>
      </c>
      <c r="J37" s="151">
        <v>78</v>
      </c>
      <c r="K37" s="151">
        <v>72</v>
      </c>
      <c r="L37" s="149">
        <f t="shared" si="1"/>
        <v>150</v>
      </c>
      <c r="M37" s="151">
        <v>72</v>
      </c>
      <c r="N37" s="151">
        <v>53</v>
      </c>
      <c r="O37" s="149">
        <f t="shared" si="2"/>
        <v>125</v>
      </c>
      <c r="P37" s="151">
        <v>59</v>
      </c>
      <c r="Q37" s="151">
        <v>50</v>
      </c>
      <c r="R37" s="149">
        <f>SUM(P37:Q37)</f>
        <v>109</v>
      </c>
      <c r="S37" s="151"/>
      <c r="T37" s="151"/>
      <c r="U37" s="149"/>
      <c r="V37" s="151"/>
      <c r="W37" s="151"/>
      <c r="X37" s="149"/>
      <c r="Y37" s="151"/>
      <c r="Z37" s="151"/>
      <c r="AA37" s="149"/>
      <c r="AB37" s="151"/>
      <c r="AC37" s="151"/>
      <c r="AD37" s="149"/>
      <c r="AE37" s="151">
        <v>74</v>
      </c>
      <c r="AF37" s="151">
        <v>42</v>
      </c>
      <c r="AG37" s="149">
        <f>SUM(AE37:AF37)</f>
        <v>116</v>
      </c>
      <c r="AH37" s="151"/>
      <c r="AI37" s="151"/>
      <c r="AJ37" s="149"/>
      <c r="AK37" s="151"/>
      <c r="AL37" s="151"/>
      <c r="AM37" s="149"/>
      <c r="AN37" s="151">
        <v>18</v>
      </c>
      <c r="AO37" s="151">
        <v>19</v>
      </c>
      <c r="AP37" s="149">
        <f t="shared" si="3"/>
        <v>37</v>
      </c>
      <c r="AQ37" s="151">
        <v>47</v>
      </c>
      <c r="AR37" s="151">
        <v>42</v>
      </c>
      <c r="AS37" s="149">
        <f t="shared" si="4"/>
        <v>89</v>
      </c>
      <c r="AT37" s="151">
        <v>20</v>
      </c>
      <c r="AU37" s="151">
        <v>22</v>
      </c>
      <c r="AV37" s="149">
        <f t="shared" si="5"/>
        <v>42</v>
      </c>
      <c r="AW37" s="149">
        <v>45</v>
      </c>
      <c r="AX37" s="149">
        <f t="shared" si="6"/>
        <v>840</v>
      </c>
      <c r="AY37" s="152" t="s">
        <v>556</v>
      </c>
    </row>
    <row r="38" spans="1:51" s="37" customFormat="1" ht="95.25" customHeight="1" x14ac:dyDescent="0.25">
      <c r="A38" s="68">
        <v>31</v>
      </c>
      <c r="B38" s="143">
        <v>180090102031</v>
      </c>
      <c r="C38" s="70">
        <v>180000100031</v>
      </c>
      <c r="D38" s="77" t="s">
        <v>101</v>
      </c>
      <c r="E38" s="77" t="s">
        <v>102</v>
      </c>
      <c r="F38" s="72"/>
      <c r="G38" s="151">
        <v>110</v>
      </c>
      <c r="H38" s="151">
        <v>70</v>
      </c>
      <c r="I38" s="149">
        <f t="shared" si="0"/>
        <v>180</v>
      </c>
      <c r="J38" s="151">
        <v>90</v>
      </c>
      <c r="K38" s="151">
        <v>29</v>
      </c>
      <c r="L38" s="149">
        <f t="shared" si="1"/>
        <v>119</v>
      </c>
      <c r="M38" s="151">
        <v>81</v>
      </c>
      <c r="N38" s="151">
        <v>50</v>
      </c>
      <c r="O38" s="149">
        <f t="shared" si="2"/>
        <v>131</v>
      </c>
      <c r="P38" s="151"/>
      <c r="Q38" s="151"/>
      <c r="R38" s="149"/>
      <c r="S38" s="151"/>
      <c r="T38" s="151"/>
      <c r="U38" s="149"/>
      <c r="V38" s="151">
        <v>71</v>
      </c>
      <c r="W38" s="151">
        <v>42</v>
      </c>
      <c r="X38" s="149">
        <f>SUM(V38:W38)</f>
        <v>113</v>
      </c>
      <c r="Y38" s="151"/>
      <c r="Z38" s="151"/>
      <c r="AA38" s="149"/>
      <c r="AB38" s="151"/>
      <c r="AC38" s="151"/>
      <c r="AD38" s="149"/>
      <c r="AE38" s="151"/>
      <c r="AF38" s="151"/>
      <c r="AG38" s="149"/>
      <c r="AH38" s="151">
        <v>65</v>
      </c>
      <c r="AI38" s="151">
        <v>36</v>
      </c>
      <c r="AJ38" s="149">
        <f>SUM(AH38:AI38)</f>
        <v>101</v>
      </c>
      <c r="AK38" s="151"/>
      <c r="AL38" s="151"/>
      <c r="AM38" s="149"/>
      <c r="AN38" s="151">
        <v>17</v>
      </c>
      <c r="AO38" s="151">
        <v>17</v>
      </c>
      <c r="AP38" s="149">
        <f t="shared" si="3"/>
        <v>34</v>
      </c>
      <c r="AQ38" s="151">
        <v>41</v>
      </c>
      <c r="AR38" s="151">
        <v>38</v>
      </c>
      <c r="AS38" s="149">
        <f t="shared" si="4"/>
        <v>79</v>
      </c>
      <c r="AT38" s="151">
        <v>19</v>
      </c>
      <c r="AU38" s="151">
        <v>22</v>
      </c>
      <c r="AV38" s="149">
        <f t="shared" si="5"/>
        <v>41</v>
      </c>
      <c r="AW38" s="149">
        <v>50</v>
      </c>
      <c r="AX38" s="149">
        <f t="shared" si="6"/>
        <v>798</v>
      </c>
      <c r="AY38" s="152" t="s">
        <v>556</v>
      </c>
    </row>
    <row r="39" spans="1:51" s="37" customFormat="1" ht="95.25" customHeight="1" x14ac:dyDescent="0.25">
      <c r="A39" s="68">
        <v>32</v>
      </c>
      <c r="B39" s="143">
        <v>180090102032</v>
      </c>
      <c r="C39" s="70">
        <v>180000100032</v>
      </c>
      <c r="D39" s="77" t="s">
        <v>103</v>
      </c>
      <c r="E39" s="77" t="s">
        <v>104</v>
      </c>
      <c r="F39" s="72"/>
      <c r="G39" s="151">
        <v>110</v>
      </c>
      <c r="H39" s="151">
        <v>71</v>
      </c>
      <c r="I39" s="149">
        <f t="shared" si="0"/>
        <v>181</v>
      </c>
      <c r="J39" s="151">
        <v>101</v>
      </c>
      <c r="K39" s="151">
        <v>62</v>
      </c>
      <c r="L39" s="149">
        <f t="shared" si="1"/>
        <v>163</v>
      </c>
      <c r="M39" s="151">
        <v>81</v>
      </c>
      <c r="N39" s="151">
        <v>51</v>
      </c>
      <c r="O39" s="149">
        <f t="shared" si="2"/>
        <v>132</v>
      </c>
      <c r="P39" s="151"/>
      <c r="Q39" s="151"/>
      <c r="R39" s="149"/>
      <c r="S39" s="151">
        <v>81</v>
      </c>
      <c r="T39" s="151">
        <v>48</v>
      </c>
      <c r="U39" s="149">
        <f>SUM(S39:T39)</f>
        <v>129</v>
      </c>
      <c r="V39" s="151"/>
      <c r="W39" s="151"/>
      <c r="X39" s="149"/>
      <c r="Y39" s="151"/>
      <c r="Z39" s="151"/>
      <c r="AA39" s="149"/>
      <c r="AB39" s="151"/>
      <c r="AC39" s="151"/>
      <c r="AD39" s="149"/>
      <c r="AE39" s="151">
        <v>83</v>
      </c>
      <c r="AF39" s="151">
        <v>42</v>
      </c>
      <c r="AG39" s="149">
        <f>SUM(AE39:AF39)</f>
        <v>125</v>
      </c>
      <c r="AH39" s="151"/>
      <c r="AI39" s="151"/>
      <c r="AJ39" s="149"/>
      <c r="AK39" s="151"/>
      <c r="AL39" s="151"/>
      <c r="AM39" s="149"/>
      <c r="AN39" s="151">
        <v>16</v>
      </c>
      <c r="AO39" s="151">
        <v>16</v>
      </c>
      <c r="AP39" s="149">
        <f t="shared" si="3"/>
        <v>32</v>
      </c>
      <c r="AQ39" s="151">
        <v>43</v>
      </c>
      <c r="AR39" s="151">
        <v>38</v>
      </c>
      <c r="AS39" s="149">
        <f t="shared" si="4"/>
        <v>81</v>
      </c>
      <c r="AT39" s="151">
        <v>19</v>
      </c>
      <c r="AU39" s="151">
        <v>20</v>
      </c>
      <c r="AV39" s="149">
        <f t="shared" si="5"/>
        <v>39</v>
      </c>
      <c r="AW39" s="149">
        <v>50</v>
      </c>
      <c r="AX39" s="149">
        <f t="shared" si="6"/>
        <v>882</v>
      </c>
      <c r="AY39" s="152" t="s">
        <v>556</v>
      </c>
    </row>
    <row r="40" spans="1:51" s="37" customFormat="1" ht="95.25" customHeight="1" x14ac:dyDescent="0.25">
      <c r="A40" s="68">
        <v>33</v>
      </c>
      <c r="B40" s="143">
        <v>180090102033</v>
      </c>
      <c r="C40" s="70">
        <v>180000100033</v>
      </c>
      <c r="D40" s="77" t="s">
        <v>105</v>
      </c>
      <c r="E40" s="77" t="s">
        <v>106</v>
      </c>
      <c r="F40" s="72"/>
      <c r="G40" s="151">
        <v>106</v>
      </c>
      <c r="H40" s="151">
        <v>68</v>
      </c>
      <c r="I40" s="149">
        <f t="shared" si="0"/>
        <v>174</v>
      </c>
      <c r="J40" s="151">
        <v>78</v>
      </c>
      <c r="K40" s="151">
        <v>75</v>
      </c>
      <c r="L40" s="149">
        <f t="shared" si="1"/>
        <v>153</v>
      </c>
      <c r="M40" s="151">
        <v>71</v>
      </c>
      <c r="N40" s="151">
        <v>50</v>
      </c>
      <c r="O40" s="149">
        <f t="shared" si="2"/>
        <v>121</v>
      </c>
      <c r="P40" s="151"/>
      <c r="Q40" s="151"/>
      <c r="R40" s="149"/>
      <c r="S40" s="151">
        <v>81</v>
      </c>
      <c r="T40" s="151">
        <v>50</v>
      </c>
      <c r="U40" s="149">
        <f>SUM(S40:T40)</f>
        <v>131</v>
      </c>
      <c r="V40" s="151"/>
      <c r="W40" s="151"/>
      <c r="X40" s="149"/>
      <c r="Y40" s="151"/>
      <c r="Z40" s="151"/>
      <c r="AA40" s="149"/>
      <c r="AB40" s="151"/>
      <c r="AC40" s="151"/>
      <c r="AD40" s="149"/>
      <c r="AE40" s="151">
        <v>81</v>
      </c>
      <c r="AF40" s="151">
        <v>50</v>
      </c>
      <c r="AG40" s="149">
        <f>SUM(AE40:AF40)</f>
        <v>131</v>
      </c>
      <c r="AH40" s="151"/>
      <c r="AI40" s="151"/>
      <c r="AJ40" s="149"/>
      <c r="AK40" s="151"/>
      <c r="AL40" s="151"/>
      <c r="AM40" s="149"/>
      <c r="AN40" s="151">
        <v>19</v>
      </c>
      <c r="AO40" s="151">
        <v>19</v>
      </c>
      <c r="AP40" s="149">
        <f t="shared" si="3"/>
        <v>38</v>
      </c>
      <c r="AQ40" s="151">
        <v>48</v>
      </c>
      <c r="AR40" s="151">
        <v>39</v>
      </c>
      <c r="AS40" s="149">
        <f t="shared" si="4"/>
        <v>87</v>
      </c>
      <c r="AT40" s="151">
        <v>19</v>
      </c>
      <c r="AU40" s="151">
        <v>19</v>
      </c>
      <c r="AV40" s="149">
        <f t="shared" si="5"/>
        <v>38</v>
      </c>
      <c r="AW40" s="149">
        <v>50</v>
      </c>
      <c r="AX40" s="149">
        <f t="shared" si="6"/>
        <v>873</v>
      </c>
      <c r="AY40" s="152" t="s">
        <v>556</v>
      </c>
    </row>
    <row r="41" spans="1:51" s="37" customFormat="1" ht="95.25" customHeight="1" x14ac:dyDescent="0.25">
      <c r="A41" s="68">
        <v>34</v>
      </c>
      <c r="B41" s="143">
        <v>180090102034</v>
      </c>
      <c r="C41" s="70">
        <v>180000100034</v>
      </c>
      <c r="D41" s="77" t="s">
        <v>107</v>
      </c>
      <c r="E41" s="77" t="s">
        <v>108</v>
      </c>
      <c r="F41" s="72"/>
      <c r="G41" s="151">
        <v>100</v>
      </c>
      <c r="H41" s="151">
        <v>54</v>
      </c>
      <c r="I41" s="149">
        <f t="shared" si="0"/>
        <v>154</v>
      </c>
      <c r="J41" s="151">
        <v>75</v>
      </c>
      <c r="K41" s="151">
        <v>49</v>
      </c>
      <c r="L41" s="149">
        <f t="shared" si="1"/>
        <v>124</v>
      </c>
      <c r="M41" s="151">
        <v>78</v>
      </c>
      <c r="N41" s="151">
        <v>52</v>
      </c>
      <c r="O41" s="149">
        <f t="shared" si="2"/>
        <v>130</v>
      </c>
      <c r="P41" s="151"/>
      <c r="Q41" s="151"/>
      <c r="R41" s="149"/>
      <c r="S41" s="151">
        <v>69</v>
      </c>
      <c r="T41" s="151">
        <v>50</v>
      </c>
      <c r="U41" s="149">
        <f>SUM(S41:T41)</f>
        <v>119</v>
      </c>
      <c r="V41" s="151"/>
      <c r="W41" s="151"/>
      <c r="X41" s="149"/>
      <c r="Y41" s="151"/>
      <c r="Z41" s="151"/>
      <c r="AA41" s="149"/>
      <c r="AB41" s="151"/>
      <c r="AC41" s="151"/>
      <c r="AD41" s="149"/>
      <c r="AE41" s="151"/>
      <c r="AF41" s="151"/>
      <c r="AG41" s="149"/>
      <c r="AH41" s="151"/>
      <c r="AI41" s="151"/>
      <c r="AJ41" s="149"/>
      <c r="AK41" s="151">
        <v>80</v>
      </c>
      <c r="AL41" s="151">
        <v>40</v>
      </c>
      <c r="AM41" s="149">
        <f>SUM(AK41:AL41)</f>
        <v>120</v>
      </c>
      <c r="AN41" s="151">
        <v>15</v>
      </c>
      <c r="AO41" s="151">
        <v>17</v>
      </c>
      <c r="AP41" s="149">
        <f t="shared" si="3"/>
        <v>32</v>
      </c>
      <c r="AQ41" s="151">
        <v>46</v>
      </c>
      <c r="AR41" s="151">
        <v>42</v>
      </c>
      <c r="AS41" s="149">
        <f t="shared" si="4"/>
        <v>88</v>
      </c>
      <c r="AT41" s="151">
        <v>20</v>
      </c>
      <c r="AU41" s="151">
        <v>22</v>
      </c>
      <c r="AV41" s="149">
        <f t="shared" si="5"/>
        <v>42</v>
      </c>
      <c r="AW41" s="149">
        <v>48</v>
      </c>
      <c r="AX41" s="149">
        <f t="shared" si="6"/>
        <v>809</v>
      </c>
      <c r="AY41" s="152" t="s">
        <v>556</v>
      </c>
    </row>
    <row r="42" spans="1:51" s="37" customFormat="1" ht="95.25" customHeight="1" x14ac:dyDescent="0.25">
      <c r="A42" s="68">
        <v>35</v>
      </c>
      <c r="B42" s="143">
        <v>180090102035</v>
      </c>
      <c r="C42" s="70">
        <v>180000100035</v>
      </c>
      <c r="D42" s="77" t="s">
        <v>109</v>
      </c>
      <c r="E42" s="77" t="s">
        <v>110</v>
      </c>
      <c r="F42" s="72"/>
      <c r="G42" s="151">
        <v>108</v>
      </c>
      <c r="H42" s="151">
        <v>69</v>
      </c>
      <c r="I42" s="149">
        <f t="shared" si="0"/>
        <v>177</v>
      </c>
      <c r="J42" s="151">
        <v>105</v>
      </c>
      <c r="K42" s="151">
        <v>62</v>
      </c>
      <c r="L42" s="149">
        <f t="shared" si="1"/>
        <v>167</v>
      </c>
      <c r="M42" s="151">
        <v>83</v>
      </c>
      <c r="N42" s="151">
        <v>53</v>
      </c>
      <c r="O42" s="149">
        <f t="shared" si="2"/>
        <v>136</v>
      </c>
      <c r="P42" s="151"/>
      <c r="Q42" s="151"/>
      <c r="R42" s="149"/>
      <c r="S42" s="151"/>
      <c r="T42" s="151"/>
      <c r="U42" s="149"/>
      <c r="V42" s="151"/>
      <c r="W42" s="151"/>
      <c r="X42" s="149"/>
      <c r="Y42" s="151">
        <v>75</v>
      </c>
      <c r="Z42" s="151">
        <v>50</v>
      </c>
      <c r="AA42" s="149">
        <f>SUM(Y42:Z42)</f>
        <v>125</v>
      </c>
      <c r="AB42" s="151"/>
      <c r="AC42" s="151"/>
      <c r="AD42" s="149"/>
      <c r="AE42" s="151"/>
      <c r="AF42" s="151"/>
      <c r="AG42" s="149"/>
      <c r="AH42" s="151"/>
      <c r="AI42" s="151"/>
      <c r="AJ42" s="149"/>
      <c r="AK42" s="151">
        <v>80</v>
      </c>
      <c r="AL42" s="151">
        <v>45</v>
      </c>
      <c r="AM42" s="149">
        <f>SUM(AK42:AL42)</f>
        <v>125</v>
      </c>
      <c r="AN42" s="151">
        <v>18</v>
      </c>
      <c r="AO42" s="151">
        <v>17</v>
      </c>
      <c r="AP42" s="149">
        <f t="shared" si="3"/>
        <v>35</v>
      </c>
      <c r="AQ42" s="155">
        <v>45</v>
      </c>
      <c r="AR42" s="151">
        <v>39</v>
      </c>
      <c r="AS42" s="149">
        <f t="shared" si="4"/>
        <v>84</v>
      </c>
      <c r="AT42" s="151">
        <v>21</v>
      </c>
      <c r="AU42" s="151">
        <v>24</v>
      </c>
      <c r="AV42" s="149">
        <f t="shared" si="5"/>
        <v>45</v>
      </c>
      <c r="AW42" s="149">
        <v>48</v>
      </c>
      <c r="AX42" s="149">
        <f t="shared" si="6"/>
        <v>894</v>
      </c>
      <c r="AY42" s="152" t="s">
        <v>556</v>
      </c>
    </row>
    <row r="43" spans="1:51" s="37" customFormat="1" ht="95.25" customHeight="1" x14ac:dyDescent="0.25">
      <c r="A43" s="68">
        <v>36</v>
      </c>
      <c r="B43" s="143">
        <v>180090102036</v>
      </c>
      <c r="C43" s="70">
        <v>180000100036</v>
      </c>
      <c r="D43" s="77" t="s">
        <v>111</v>
      </c>
      <c r="E43" s="77" t="s">
        <v>112</v>
      </c>
      <c r="F43" s="72"/>
      <c r="G43" s="151">
        <v>90</v>
      </c>
      <c r="H43" s="151">
        <v>56</v>
      </c>
      <c r="I43" s="149">
        <f t="shared" si="0"/>
        <v>146</v>
      </c>
      <c r="J43" s="151">
        <v>75</v>
      </c>
      <c r="K43" s="151">
        <v>67</v>
      </c>
      <c r="L43" s="149">
        <f t="shared" si="1"/>
        <v>142</v>
      </c>
      <c r="M43" s="151">
        <v>77</v>
      </c>
      <c r="N43" s="151">
        <v>46</v>
      </c>
      <c r="O43" s="149">
        <f t="shared" si="2"/>
        <v>123</v>
      </c>
      <c r="P43" s="151"/>
      <c r="Q43" s="151"/>
      <c r="R43" s="149"/>
      <c r="S43" s="151"/>
      <c r="T43" s="151"/>
      <c r="U43" s="149"/>
      <c r="V43" s="151">
        <v>63</v>
      </c>
      <c r="W43" s="151">
        <v>47</v>
      </c>
      <c r="X43" s="149">
        <f>SUM(V43:W43)</f>
        <v>110</v>
      </c>
      <c r="Y43" s="151"/>
      <c r="Z43" s="151"/>
      <c r="AA43" s="149"/>
      <c r="AB43" s="151"/>
      <c r="AC43" s="151"/>
      <c r="AD43" s="149"/>
      <c r="AE43" s="151"/>
      <c r="AF43" s="151"/>
      <c r="AG43" s="149"/>
      <c r="AH43" s="151">
        <v>74</v>
      </c>
      <c r="AI43" s="151">
        <v>49</v>
      </c>
      <c r="AJ43" s="149">
        <f>SUM(AH43:AI43)</f>
        <v>123</v>
      </c>
      <c r="AK43" s="151"/>
      <c r="AL43" s="151"/>
      <c r="AM43" s="149"/>
      <c r="AN43" s="155">
        <v>16</v>
      </c>
      <c r="AO43" s="151">
        <v>19</v>
      </c>
      <c r="AP43" s="149">
        <f t="shared" si="3"/>
        <v>35</v>
      </c>
      <c r="AQ43" s="155">
        <v>38</v>
      </c>
      <c r="AR43" s="151">
        <v>36</v>
      </c>
      <c r="AS43" s="149">
        <f t="shared" si="4"/>
        <v>74</v>
      </c>
      <c r="AT43" s="155">
        <v>21</v>
      </c>
      <c r="AU43" s="151">
        <v>22</v>
      </c>
      <c r="AV43" s="149">
        <f t="shared" si="5"/>
        <v>43</v>
      </c>
      <c r="AW43" s="149">
        <v>47</v>
      </c>
      <c r="AX43" s="149">
        <f t="shared" si="6"/>
        <v>796</v>
      </c>
      <c r="AY43" s="152" t="s">
        <v>556</v>
      </c>
    </row>
    <row r="44" spans="1:51" s="37" customFormat="1" ht="95.25" customHeight="1" x14ac:dyDescent="0.25">
      <c r="A44" s="68">
        <v>37</v>
      </c>
      <c r="B44" s="143">
        <v>180090102037</v>
      </c>
      <c r="C44" s="70">
        <v>180000100037</v>
      </c>
      <c r="D44" s="77" t="s">
        <v>113</v>
      </c>
      <c r="E44" s="77" t="s">
        <v>114</v>
      </c>
      <c r="F44" s="72"/>
      <c r="G44" s="151">
        <v>104</v>
      </c>
      <c r="H44" s="151">
        <v>73</v>
      </c>
      <c r="I44" s="149">
        <f t="shared" si="0"/>
        <v>177</v>
      </c>
      <c r="J44" s="151">
        <v>95</v>
      </c>
      <c r="K44" s="151">
        <v>57</v>
      </c>
      <c r="L44" s="149">
        <f t="shared" si="1"/>
        <v>152</v>
      </c>
      <c r="M44" s="151">
        <v>81</v>
      </c>
      <c r="N44" s="151">
        <v>49</v>
      </c>
      <c r="O44" s="149">
        <f t="shared" si="2"/>
        <v>130</v>
      </c>
      <c r="P44" s="151"/>
      <c r="Q44" s="151"/>
      <c r="R44" s="149"/>
      <c r="S44" s="151"/>
      <c r="T44" s="151"/>
      <c r="U44" s="149"/>
      <c r="V44" s="151">
        <v>71</v>
      </c>
      <c r="W44" s="151">
        <v>55</v>
      </c>
      <c r="X44" s="149">
        <f>SUM(V44:W44)</f>
        <v>126</v>
      </c>
      <c r="Y44" s="151"/>
      <c r="Z44" s="151"/>
      <c r="AA44" s="149"/>
      <c r="AB44" s="151"/>
      <c r="AC44" s="151"/>
      <c r="AD44" s="149"/>
      <c r="AE44" s="151">
        <v>80</v>
      </c>
      <c r="AF44" s="151">
        <v>32</v>
      </c>
      <c r="AG44" s="149">
        <f>SUM(AE44:AF44)</f>
        <v>112</v>
      </c>
      <c r="AH44" s="151"/>
      <c r="AI44" s="151"/>
      <c r="AJ44" s="149"/>
      <c r="AK44" s="151"/>
      <c r="AL44" s="151"/>
      <c r="AM44" s="149"/>
      <c r="AN44" s="155">
        <v>19</v>
      </c>
      <c r="AO44" s="151">
        <v>14</v>
      </c>
      <c r="AP44" s="149">
        <f t="shared" si="3"/>
        <v>33</v>
      </c>
      <c r="AQ44" s="155">
        <v>33</v>
      </c>
      <c r="AR44" s="151">
        <v>39</v>
      </c>
      <c r="AS44" s="149">
        <f t="shared" si="4"/>
        <v>72</v>
      </c>
      <c r="AT44" s="155">
        <v>22</v>
      </c>
      <c r="AU44" s="151">
        <v>22</v>
      </c>
      <c r="AV44" s="149">
        <f t="shared" si="5"/>
        <v>44</v>
      </c>
      <c r="AW44" s="149">
        <v>50</v>
      </c>
      <c r="AX44" s="149">
        <f t="shared" si="6"/>
        <v>846</v>
      </c>
      <c r="AY44" s="152" t="s">
        <v>556</v>
      </c>
    </row>
    <row r="45" spans="1:51" s="37" customFormat="1" ht="95.25" customHeight="1" x14ac:dyDescent="0.25">
      <c r="A45" s="68">
        <v>38</v>
      </c>
      <c r="B45" s="143">
        <v>180090102038</v>
      </c>
      <c r="C45" s="70">
        <v>180000100038</v>
      </c>
      <c r="D45" s="77" t="s">
        <v>115</v>
      </c>
      <c r="E45" s="77" t="s">
        <v>116</v>
      </c>
      <c r="F45" s="72"/>
      <c r="G45" s="151">
        <v>110</v>
      </c>
      <c r="H45" s="151">
        <v>70</v>
      </c>
      <c r="I45" s="149">
        <f t="shared" si="0"/>
        <v>180</v>
      </c>
      <c r="J45" s="151">
        <v>69</v>
      </c>
      <c r="K45" s="151">
        <v>51</v>
      </c>
      <c r="L45" s="149">
        <f t="shared" si="1"/>
        <v>120</v>
      </c>
      <c r="M45" s="151">
        <v>76</v>
      </c>
      <c r="N45" s="151">
        <v>47</v>
      </c>
      <c r="O45" s="149">
        <f t="shared" si="2"/>
        <v>123</v>
      </c>
      <c r="P45" s="151"/>
      <c r="Q45" s="151"/>
      <c r="R45" s="149"/>
      <c r="S45" s="151"/>
      <c r="T45" s="151"/>
      <c r="U45" s="149"/>
      <c r="V45" s="151">
        <v>69</v>
      </c>
      <c r="W45" s="151">
        <v>34</v>
      </c>
      <c r="X45" s="149">
        <f>SUM(V45:W45)</f>
        <v>103</v>
      </c>
      <c r="Y45" s="151"/>
      <c r="Z45" s="151"/>
      <c r="AA45" s="149"/>
      <c r="AB45" s="151"/>
      <c r="AC45" s="151"/>
      <c r="AD45" s="149"/>
      <c r="AE45" s="151"/>
      <c r="AF45" s="151"/>
      <c r="AG45" s="149"/>
      <c r="AH45" s="151"/>
      <c r="AI45" s="151"/>
      <c r="AJ45" s="149"/>
      <c r="AK45" s="151">
        <v>72</v>
      </c>
      <c r="AL45" s="151">
        <v>35</v>
      </c>
      <c r="AM45" s="149">
        <f>SUM(AK45:AL45)</f>
        <v>107</v>
      </c>
      <c r="AN45" s="155">
        <v>18</v>
      </c>
      <c r="AO45" s="151">
        <v>15</v>
      </c>
      <c r="AP45" s="149">
        <f t="shared" si="3"/>
        <v>33</v>
      </c>
      <c r="AQ45" s="151">
        <v>41</v>
      </c>
      <c r="AR45" s="151">
        <v>43</v>
      </c>
      <c r="AS45" s="149">
        <f t="shared" si="4"/>
        <v>84</v>
      </c>
      <c r="AT45" s="155">
        <v>21</v>
      </c>
      <c r="AU45" s="151">
        <v>23</v>
      </c>
      <c r="AV45" s="149">
        <f t="shared" si="5"/>
        <v>44</v>
      </c>
      <c r="AW45" s="149">
        <v>45</v>
      </c>
      <c r="AX45" s="149">
        <f t="shared" si="6"/>
        <v>794</v>
      </c>
      <c r="AY45" s="152" t="s">
        <v>556</v>
      </c>
    </row>
    <row r="46" spans="1:51" s="37" customFormat="1" ht="95.25" customHeight="1" x14ac:dyDescent="0.25">
      <c r="A46" s="68">
        <v>39</v>
      </c>
      <c r="B46" s="143">
        <v>180090102039</v>
      </c>
      <c r="C46" s="70">
        <v>180000100039</v>
      </c>
      <c r="D46" s="77" t="s">
        <v>117</v>
      </c>
      <c r="E46" s="77" t="s">
        <v>118</v>
      </c>
      <c r="F46" s="72"/>
      <c r="G46" s="151">
        <v>102</v>
      </c>
      <c r="H46" s="151">
        <v>66</v>
      </c>
      <c r="I46" s="149">
        <f t="shared" si="0"/>
        <v>168</v>
      </c>
      <c r="J46" s="151">
        <v>77</v>
      </c>
      <c r="K46" s="151">
        <v>66</v>
      </c>
      <c r="L46" s="149">
        <f t="shared" si="1"/>
        <v>143</v>
      </c>
      <c r="M46" s="151">
        <v>75</v>
      </c>
      <c r="N46" s="151">
        <v>44</v>
      </c>
      <c r="O46" s="149">
        <f t="shared" si="2"/>
        <v>119</v>
      </c>
      <c r="P46" s="151"/>
      <c r="Q46" s="151"/>
      <c r="R46" s="149"/>
      <c r="S46" s="151">
        <v>72</v>
      </c>
      <c r="T46" s="151">
        <v>48</v>
      </c>
      <c r="U46" s="149">
        <f>SUM(S46:T46)</f>
        <v>120</v>
      </c>
      <c r="V46" s="151"/>
      <c r="W46" s="151"/>
      <c r="X46" s="149"/>
      <c r="Y46" s="151"/>
      <c r="Z46" s="151"/>
      <c r="AA46" s="149"/>
      <c r="AB46" s="151"/>
      <c r="AC46" s="151"/>
      <c r="AD46" s="149"/>
      <c r="AE46" s="151">
        <v>78</v>
      </c>
      <c r="AF46" s="151">
        <v>53</v>
      </c>
      <c r="AG46" s="149">
        <f>SUM(AE46:AF46)</f>
        <v>131</v>
      </c>
      <c r="AH46" s="151"/>
      <c r="AI46" s="151"/>
      <c r="AJ46" s="149"/>
      <c r="AK46" s="151"/>
      <c r="AL46" s="151"/>
      <c r="AM46" s="149"/>
      <c r="AN46" s="151">
        <v>19</v>
      </c>
      <c r="AO46" s="151">
        <v>21</v>
      </c>
      <c r="AP46" s="149">
        <f t="shared" si="3"/>
        <v>40</v>
      </c>
      <c r="AQ46" s="151">
        <v>48</v>
      </c>
      <c r="AR46" s="151">
        <v>38</v>
      </c>
      <c r="AS46" s="149">
        <f t="shared" si="4"/>
        <v>86</v>
      </c>
      <c r="AT46" s="151">
        <v>24</v>
      </c>
      <c r="AU46" s="151">
        <v>24</v>
      </c>
      <c r="AV46" s="149">
        <f t="shared" si="5"/>
        <v>48</v>
      </c>
      <c r="AW46" s="149">
        <v>45</v>
      </c>
      <c r="AX46" s="149">
        <f t="shared" si="6"/>
        <v>855</v>
      </c>
      <c r="AY46" s="152" t="s">
        <v>556</v>
      </c>
    </row>
    <row r="47" spans="1:51" s="37" customFormat="1" ht="95.25" customHeight="1" x14ac:dyDescent="0.25">
      <c r="A47" s="68">
        <v>40</v>
      </c>
      <c r="B47" s="143">
        <v>180090102041</v>
      </c>
      <c r="C47" s="70">
        <v>180000100041</v>
      </c>
      <c r="D47" s="77" t="s">
        <v>119</v>
      </c>
      <c r="E47" s="77" t="s">
        <v>120</v>
      </c>
      <c r="F47" s="72"/>
      <c r="G47" s="151">
        <v>104</v>
      </c>
      <c r="H47" s="151">
        <v>69</v>
      </c>
      <c r="I47" s="149">
        <f t="shared" si="0"/>
        <v>173</v>
      </c>
      <c r="J47" s="151">
        <v>77</v>
      </c>
      <c r="K47" s="151">
        <v>68</v>
      </c>
      <c r="L47" s="149">
        <f t="shared" si="1"/>
        <v>145</v>
      </c>
      <c r="M47" s="151">
        <v>77</v>
      </c>
      <c r="N47" s="151">
        <v>54</v>
      </c>
      <c r="O47" s="149">
        <f t="shared" si="2"/>
        <v>131</v>
      </c>
      <c r="P47" s="151"/>
      <c r="Q47" s="151"/>
      <c r="R47" s="149"/>
      <c r="S47" s="151"/>
      <c r="T47" s="151"/>
      <c r="U47" s="149"/>
      <c r="V47" s="151">
        <v>75</v>
      </c>
      <c r="W47" s="151">
        <v>42</v>
      </c>
      <c r="X47" s="149">
        <f>SUM(V47:W47)</f>
        <v>117</v>
      </c>
      <c r="Y47" s="151"/>
      <c r="Z47" s="151"/>
      <c r="AA47" s="149"/>
      <c r="AB47" s="151"/>
      <c r="AC47" s="151"/>
      <c r="AD47" s="149"/>
      <c r="AE47" s="151">
        <v>78</v>
      </c>
      <c r="AF47" s="151">
        <v>42</v>
      </c>
      <c r="AG47" s="149">
        <f>SUM(AE47:AF47)</f>
        <v>120</v>
      </c>
      <c r="AH47" s="151"/>
      <c r="AI47" s="151"/>
      <c r="AJ47" s="149"/>
      <c r="AK47" s="151"/>
      <c r="AL47" s="151"/>
      <c r="AM47" s="149"/>
      <c r="AN47" s="151">
        <v>18</v>
      </c>
      <c r="AO47" s="151">
        <v>15</v>
      </c>
      <c r="AP47" s="149">
        <f t="shared" si="3"/>
        <v>33</v>
      </c>
      <c r="AQ47" s="155">
        <v>48</v>
      </c>
      <c r="AR47" s="151">
        <v>41</v>
      </c>
      <c r="AS47" s="149">
        <f t="shared" si="4"/>
        <v>89</v>
      </c>
      <c r="AT47" s="151">
        <v>19</v>
      </c>
      <c r="AU47" s="151">
        <v>20</v>
      </c>
      <c r="AV47" s="149">
        <f t="shared" si="5"/>
        <v>39</v>
      </c>
      <c r="AW47" s="149">
        <v>50</v>
      </c>
      <c r="AX47" s="149">
        <f t="shared" si="6"/>
        <v>847</v>
      </c>
      <c r="AY47" s="152" t="s">
        <v>556</v>
      </c>
    </row>
    <row r="48" spans="1:51" s="37" customFormat="1" ht="95.25" customHeight="1" x14ac:dyDescent="0.25">
      <c r="A48" s="68">
        <v>41</v>
      </c>
      <c r="B48" s="143">
        <v>180090102042</v>
      </c>
      <c r="C48" s="70">
        <v>180000100042</v>
      </c>
      <c r="D48" s="77" t="s">
        <v>121</v>
      </c>
      <c r="E48" s="77" t="s">
        <v>122</v>
      </c>
      <c r="F48" s="72"/>
      <c r="G48" s="151">
        <v>106</v>
      </c>
      <c r="H48" s="151">
        <v>68</v>
      </c>
      <c r="I48" s="149">
        <f t="shared" si="0"/>
        <v>174</v>
      </c>
      <c r="J48" s="151">
        <v>81</v>
      </c>
      <c r="K48" s="151">
        <v>75</v>
      </c>
      <c r="L48" s="149">
        <f t="shared" si="1"/>
        <v>156</v>
      </c>
      <c r="M48" s="151">
        <v>81</v>
      </c>
      <c r="N48" s="151">
        <v>43</v>
      </c>
      <c r="O48" s="149">
        <f t="shared" si="2"/>
        <v>124</v>
      </c>
      <c r="P48" s="151">
        <v>48</v>
      </c>
      <c r="Q48" s="151">
        <v>44</v>
      </c>
      <c r="R48" s="149">
        <f>SUM(P48:Q48)</f>
        <v>92</v>
      </c>
      <c r="S48" s="151"/>
      <c r="T48" s="151"/>
      <c r="U48" s="149"/>
      <c r="V48" s="151"/>
      <c r="W48" s="151"/>
      <c r="X48" s="149"/>
      <c r="Y48" s="151"/>
      <c r="Z48" s="151"/>
      <c r="AA48" s="149"/>
      <c r="AB48" s="151"/>
      <c r="AC48" s="151"/>
      <c r="AD48" s="149"/>
      <c r="AE48" s="151"/>
      <c r="AF48" s="151"/>
      <c r="AG48" s="149"/>
      <c r="AH48" s="151">
        <v>66</v>
      </c>
      <c r="AI48" s="151">
        <v>51</v>
      </c>
      <c r="AJ48" s="149">
        <f>SUM(AH48:AI48)</f>
        <v>117</v>
      </c>
      <c r="AK48" s="151"/>
      <c r="AL48" s="151"/>
      <c r="AM48" s="149"/>
      <c r="AN48" s="155">
        <v>21</v>
      </c>
      <c r="AO48" s="151">
        <v>22</v>
      </c>
      <c r="AP48" s="149">
        <f t="shared" si="3"/>
        <v>43</v>
      </c>
      <c r="AQ48" s="155">
        <v>38</v>
      </c>
      <c r="AR48" s="151">
        <v>39</v>
      </c>
      <c r="AS48" s="149">
        <f t="shared" si="4"/>
        <v>77</v>
      </c>
      <c r="AT48" s="155">
        <v>17</v>
      </c>
      <c r="AU48" s="151">
        <v>19</v>
      </c>
      <c r="AV48" s="149">
        <f t="shared" si="5"/>
        <v>36</v>
      </c>
      <c r="AW48" s="149">
        <v>50</v>
      </c>
      <c r="AX48" s="149">
        <f t="shared" si="6"/>
        <v>819</v>
      </c>
      <c r="AY48" s="152" t="s">
        <v>556</v>
      </c>
    </row>
    <row r="49" spans="1:51" s="37" customFormat="1" ht="95.25" customHeight="1" x14ac:dyDescent="0.25">
      <c r="A49" s="68">
        <v>42</v>
      </c>
      <c r="B49" s="143">
        <v>180090102043</v>
      </c>
      <c r="C49" s="70">
        <v>180000100043</v>
      </c>
      <c r="D49" s="77" t="s">
        <v>123</v>
      </c>
      <c r="E49" s="77" t="s">
        <v>124</v>
      </c>
      <c r="F49" s="80"/>
      <c r="G49" s="151">
        <v>104</v>
      </c>
      <c r="H49" s="156">
        <v>45</v>
      </c>
      <c r="I49" s="149">
        <f t="shared" si="0"/>
        <v>149</v>
      </c>
      <c r="J49" s="151">
        <v>95</v>
      </c>
      <c r="K49" s="156">
        <v>30</v>
      </c>
      <c r="L49" s="149">
        <f t="shared" si="1"/>
        <v>125</v>
      </c>
      <c r="M49" s="151">
        <v>71</v>
      </c>
      <c r="N49" s="156">
        <v>46</v>
      </c>
      <c r="O49" s="149">
        <f t="shared" si="2"/>
        <v>117</v>
      </c>
      <c r="P49" s="151"/>
      <c r="Q49" s="156"/>
      <c r="R49" s="149"/>
      <c r="S49" s="151"/>
      <c r="T49" s="156"/>
      <c r="U49" s="149"/>
      <c r="V49" s="151">
        <v>69</v>
      </c>
      <c r="W49" s="156">
        <v>50</v>
      </c>
      <c r="X49" s="149">
        <f>SUM(V49:W49)</f>
        <v>119</v>
      </c>
      <c r="Y49" s="151"/>
      <c r="Z49" s="156"/>
      <c r="AA49" s="149"/>
      <c r="AB49" s="151"/>
      <c r="AC49" s="156"/>
      <c r="AD49" s="149"/>
      <c r="AE49" s="151"/>
      <c r="AF49" s="156"/>
      <c r="AG49" s="149"/>
      <c r="AH49" s="151"/>
      <c r="AI49" s="151"/>
      <c r="AJ49" s="149"/>
      <c r="AK49" s="151">
        <v>72</v>
      </c>
      <c r="AL49" s="156">
        <v>41</v>
      </c>
      <c r="AM49" s="149">
        <f>SUM(AK49:AL49)</f>
        <v>113</v>
      </c>
      <c r="AN49" s="155">
        <v>20</v>
      </c>
      <c r="AO49" s="156">
        <v>20</v>
      </c>
      <c r="AP49" s="149">
        <f t="shared" si="3"/>
        <v>40</v>
      </c>
      <c r="AQ49" s="155">
        <v>45</v>
      </c>
      <c r="AR49" s="156">
        <v>35</v>
      </c>
      <c r="AS49" s="149">
        <f t="shared" si="4"/>
        <v>80</v>
      </c>
      <c r="AT49" s="155">
        <v>19</v>
      </c>
      <c r="AU49" s="156">
        <v>20</v>
      </c>
      <c r="AV49" s="149">
        <f t="shared" si="5"/>
        <v>39</v>
      </c>
      <c r="AW49" s="149">
        <v>46</v>
      </c>
      <c r="AX49" s="149">
        <f t="shared" si="6"/>
        <v>782</v>
      </c>
      <c r="AY49" s="152" t="s">
        <v>556</v>
      </c>
    </row>
    <row r="50" spans="1:51" ht="95.25" customHeight="1" x14ac:dyDescent="0.4">
      <c r="A50" s="68">
        <v>43</v>
      </c>
      <c r="B50" s="149">
        <v>180090102044</v>
      </c>
      <c r="C50" s="70">
        <v>180000100044</v>
      </c>
      <c r="D50" s="80" t="s">
        <v>125</v>
      </c>
      <c r="E50" s="80" t="s">
        <v>126</v>
      </c>
      <c r="F50" s="81"/>
      <c r="G50" s="156">
        <v>108</v>
      </c>
      <c r="H50" s="156">
        <v>68</v>
      </c>
      <c r="I50" s="149">
        <f t="shared" si="0"/>
        <v>176</v>
      </c>
      <c r="J50" s="156">
        <v>99</v>
      </c>
      <c r="K50" s="156">
        <v>73</v>
      </c>
      <c r="L50" s="149">
        <f t="shared" si="1"/>
        <v>172</v>
      </c>
      <c r="M50" s="156">
        <v>80</v>
      </c>
      <c r="N50" s="156">
        <v>54</v>
      </c>
      <c r="O50" s="149">
        <f t="shared" si="2"/>
        <v>134</v>
      </c>
      <c r="P50" s="156"/>
      <c r="Q50" s="156"/>
      <c r="R50" s="149"/>
      <c r="S50" s="156"/>
      <c r="T50" s="156"/>
      <c r="U50" s="149"/>
      <c r="V50" s="156">
        <v>74</v>
      </c>
      <c r="W50" s="156">
        <v>52</v>
      </c>
      <c r="X50" s="149">
        <f>SUM(V50:W50)</f>
        <v>126</v>
      </c>
      <c r="Y50" s="156"/>
      <c r="Z50" s="156"/>
      <c r="AA50" s="149"/>
      <c r="AB50" s="156"/>
      <c r="AC50" s="156"/>
      <c r="AD50" s="149"/>
      <c r="AE50" s="156"/>
      <c r="AF50" s="156"/>
      <c r="AG50" s="149"/>
      <c r="AH50" s="156"/>
      <c r="AI50" s="156"/>
      <c r="AJ50" s="149"/>
      <c r="AK50" s="156">
        <v>72</v>
      </c>
      <c r="AL50" s="156">
        <v>50</v>
      </c>
      <c r="AM50" s="149">
        <f>SUM(AK50:AL50)</f>
        <v>122</v>
      </c>
      <c r="AN50" s="155">
        <v>22</v>
      </c>
      <c r="AO50" s="156">
        <v>15</v>
      </c>
      <c r="AP50" s="149">
        <f t="shared" si="3"/>
        <v>37</v>
      </c>
      <c r="AQ50" s="155">
        <v>40</v>
      </c>
      <c r="AR50" s="156">
        <v>41</v>
      </c>
      <c r="AS50" s="149">
        <f t="shared" si="4"/>
        <v>81</v>
      </c>
      <c r="AT50" s="155">
        <v>18</v>
      </c>
      <c r="AU50" s="156">
        <v>19</v>
      </c>
      <c r="AV50" s="149">
        <f t="shared" si="5"/>
        <v>37</v>
      </c>
      <c r="AW50" s="157">
        <v>46</v>
      </c>
      <c r="AX50" s="149">
        <f t="shared" si="6"/>
        <v>885</v>
      </c>
      <c r="AY50" s="152" t="s">
        <v>556</v>
      </c>
    </row>
    <row r="51" spans="1:51" ht="95.25" customHeight="1" x14ac:dyDescent="0.4">
      <c r="A51" s="68">
        <v>44</v>
      </c>
      <c r="B51" s="150">
        <v>180090102045</v>
      </c>
      <c r="C51" s="70">
        <v>180000100045</v>
      </c>
      <c r="D51" s="76" t="s">
        <v>127</v>
      </c>
      <c r="E51" s="76" t="s">
        <v>128</v>
      </c>
      <c r="F51" s="83"/>
      <c r="G51" s="156">
        <v>102</v>
      </c>
      <c r="H51" s="156">
        <v>64</v>
      </c>
      <c r="I51" s="149">
        <f t="shared" si="0"/>
        <v>166</v>
      </c>
      <c r="J51" s="156">
        <v>66</v>
      </c>
      <c r="K51" s="156">
        <v>77</v>
      </c>
      <c r="L51" s="149">
        <f t="shared" si="1"/>
        <v>143</v>
      </c>
      <c r="M51" s="156">
        <v>74</v>
      </c>
      <c r="N51" s="156">
        <v>53</v>
      </c>
      <c r="O51" s="149">
        <f t="shared" si="2"/>
        <v>127</v>
      </c>
      <c r="P51" s="156">
        <v>60</v>
      </c>
      <c r="Q51" s="156">
        <v>54</v>
      </c>
      <c r="R51" s="149">
        <f>SUM(P51:Q51)</f>
        <v>114</v>
      </c>
      <c r="S51" s="156"/>
      <c r="T51" s="156"/>
      <c r="U51" s="149"/>
      <c r="V51" s="156"/>
      <c r="W51" s="156"/>
      <c r="X51" s="149"/>
      <c r="Y51" s="156"/>
      <c r="Z51" s="156"/>
      <c r="AA51" s="149"/>
      <c r="AB51" s="156"/>
      <c r="AC51" s="156"/>
      <c r="AD51" s="149"/>
      <c r="AE51" s="156">
        <v>74</v>
      </c>
      <c r="AF51" s="156">
        <v>47</v>
      </c>
      <c r="AG51" s="149">
        <f>SUM(AE51:AF51)</f>
        <v>121</v>
      </c>
      <c r="AH51" s="156"/>
      <c r="AI51" s="156"/>
      <c r="AJ51" s="149"/>
      <c r="AK51" s="156"/>
      <c r="AL51" s="156"/>
      <c r="AM51" s="149"/>
      <c r="AN51" s="155">
        <v>20</v>
      </c>
      <c r="AO51" s="156">
        <v>19</v>
      </c>
      <c r="AP51" s="149">
        <f t="shared" si="3"/>
        <v>39</v>
      </c>
      <c r="AQ51" s="156">
        <v>47</v>
      </c>
      <c r="AR51" s="156">
        <v>43</v>
      </c>
      <c r="AS51" s="149">
        <f t="shared" si="4"/>
        <v>90</v>
      </c>
      <c r="AT51" s="155">
        <v>23</v>
      </c>
      <c r="AU51" s="156">
        <v>19</v>
      </c>
      <c r="AV51" s="149">
        <f t="shared" si="5"/>
        <v>42</v>
      </c>
      <c r="AW51" s="157">
        <v>47</v>
      </c>
      <c r="AX51" s="149">
        <f t="shared" si="6"/>
        <v>842</v>
      </c>
      <c r="AY51" s="152" t="s">
        <v>556</v>
      </c>
    </row>
    <row r="52" spans="1:51" ht="95.25" customHeight="1" x14ac:dyDescent="0.4">
      <c r="A52" s="68">
        <v>45</v>
      </c>
      <c r="B52" s="150">
        <v>180090102046</v>
      </c>
      <c r="C52" s="70">
        <v>180000100046</v>
      </c>
      <c r="D52" s="76" t="s">
        <v>129</v>
      </c>
      <c r="E52" s="76" t="s">
        <v>130</v>
      </c>
      <c r="F52" s="83"/>
      <c r="G52" s="156">
        <v>110</v>
      </c>
      <c r="H52" s="156">
        <v>70</v>
      </c>
      <c r="I52" s="149">
        <f t="shared" si="0"/>
        <v>180</v>
      </c>
      <c r="J52" s="156">
        <v>89</v>
      </c>
      <c r="K52" s="156">
        <v>76</v>
      </c>
      <c r="L52" s="149">
        <f t="shared" si="1"/>
        <v>165</v>
      </c>
      <c r="M52" s="156">
        <v>73</v>
      </c>
      <c r="N52" s="156">
        <v>49</v>
      </c>
      <c r="O52" s="149">
        <f t="shared" si="2"/>
        <v>122</v>
      </c>
      <c r="P52" s="156">
        <v>69</v>
      </c>
      <c r="Q52" s="156">
        <v>49</v>
      </c>
      <c r="R52" s="149">
        <f>SUM(P52:Q52)</f>
        <v>118</v>
      </c>
      <c r="S52" s="156"/>
      <c r="T52" s="156"/>
      <c r="U52" s="149"/>
      <c r="V52" s="156"/>
      <c r="W52" s="156"/>
      <c r="X52" s="149"/>
      <c r="Y52" s="156"/>
      <c r="Z52" s="156"/>
      <c r="AA52" s="149"/>
      <c r="AB52" s="156">
        <v>71</v>
      </c>
      <c r="AC52" s="156">
        <v>49</v>
      </c>
      <c r="AD52" s="149">
        <f>SUM(AB52:AC52)</f>
        <v>120</v>
      </c>
      <c r="AE52" s="156"/>
      <c r="AF52" s="156"/>
      <c r="AG52" s="149"/>
      <c r="AH52" s="156"/>
      <c r="AI52" s="156"/>
      <c r="AJ52" s="149"/>
      <c r="AK52" s="156"/>
      <c r="AL52" s="156"/>
      <c r="AM52" s="149"/>
      <c r="AN52" s="156">
        <v>18</v>
      </c>
      <c r="AO52" s="156">
        <v>17</v>
      </c>
      <c r="AP52" s="149">
        <f t="shared" si="3"/>
        <v>35</v>
      </c>
      <c r="AQ52" s="156">
        <v>43</v>
      </c>
      <c r="AR52" s="156">
        <v>45</v>
      </c>
      <c r="AS52" s="149">
        <f t="shared" si="4"/>
        <v>88</v>
      </c>
      <c r="AT52" s="156">
        <v>20</v>
      </c>
      <c r="AU52" s="156">
        <v>23</v>
      </c>
      <c r="AV52" s="149">
        <f t="shared" si="5"/>
        <v>43</v>
      </c>
      <c r="AW52" s="157">
        <v>47</v>
      </c>
      <c r="AX52" s="149">
        <f t="shared" si="6"/>
        <v>871</v>
      </c>
      <c r="AY52" s="152" t="s">
        <v>556</v>
      </c>
    </row>
    <row r="53" spans="1:51" ht="95.25" customHeight="1" x14ac:dyDescent="0.4">
      <c r="A53" s="68">
        <v>46</v>
      </c>
      <c r="B53" s="150">
        <v>180090102047</v>
      </c>
      <c r="C53" s="70">
        <v>180000100047</v>
      </c>
      <c r="D53" s="76" t="s">
        <v>131</v>
      </c>
      <c r="E53" s="76" t="s">
        <v>132</v>
      </c>
      <c r="F53" s="83"/>
      <c r="G53" s="156">
        <v>114</v>
      </c>
      <c r="H53" s="156">
        <v>70</v>
      </c>
      <c r="I53" s="149">
        <f t="shared" si="0"/>
        <v>184</v>
      </c>
      <c r="J53" s="156">
        <v>87</v>
      </c>
      <c r="K53" s="156">
        <v>57</v>
      </c>
      <c r="L53" s="149">
        <f t="shared" si="1"/>
        <v>144</v>
      </c>
      <c r="M53" s="156">
        <v>77</v>
      </c>
      <c r="N53" s="156">
        <v>48</v>
      </c>
      <c r="O53" s="149">
        <f t="shared" si="2"/>
        <v>125</v>
      </c>
      <c r="P53" s="156"/>
      <c r="Q53" s="156"/>
      <c r="R53" s="149"/>
      <c r="S53" s="156"/>
      <c r="T53" s="156"/>
      <c r="U53" s="149"/>
      <c r="V53" s="156"/>
      <c r="W53" s="156"/>
      <c r="X53" s="149"/>
      <c r="Y53" s="156">
        <v>66</v>
      </c>
      <c r="Z53" s="156">
        <v>46</v>
      </c>
      <c r="AA53" s="149">
        <f>SUM(Y53:Z53)</f>
        <v>112</v>
      </c>
      <c r="AB53" s="156"/>
      <c r="AC53" s="156"/>
      <c r="AD53" s="149"/>
      <c r="AE53" s="156"/>
      <c r="AF53" s="156"/>
      <c r="AG53" s="149"/>
      <c r="AH53" s="156">
        <v>71</v>
      </c>
      <c r="AI53" s="156">
        <v>46</v>
      </c>
      <c r="AJ53" s="149">
        <f>SUM(AH53:AI53)</f>
        <v>117</v>
      </c>
      <c r="AK53" s="156"/>
      <c r="AL53" s="156"/>
      <c r="AM53" s="149"/>
      <c r="AN53" s="156">
        <v>19</v>
      </c>
      <c r="AO53" s="156">
        <v>18</v>
      </c>
      <c r="AP53" s="149">
        <f t="shared" si="3"/>
        <v>37</v>
      </c>
      <c r="AQ53" s="156">
        <v>34</v>
      </c>
      <c r="AR53" s="156">
        <v>39</v>
      </c>
      <c r="AS53" s="149">
        <f t="shared" si="4"/>
        <v>73</v>
      </c>
      <c r="AT53" s="156">
        <v>18</v>
      </c>
      <c r="AU53" s="156">
        <v>22</v>
      </c>
      <c r="AV53" s="149">
        <f t="shared" si="5"/>
        <v>40</v>
      </c>
      <c r="AW53" s="157">
        <v>50</v>
      </c>
      <c r="AX53" s="149">
        <f t="shared" si="6"/>
        <v>832</v>
      </c>
      <c r="AY53" s="152" t="s">
        <v>556</v>
      </c>
    </row>
    <row r="54" spans="1:51" ht="95.25" customHeight="1" x14ac:dyDescent="0.4">
      <c r="A54" s="68">
        <v>47</v>
      </c>
      <c r="B54" s="150">
        <v>180090102048</v>
      </c>
      <c r="C54" s="70">
        <v>180000100048</v>
      </c>
      <c r="D54" s="76" t="s">
        <v>133</v>
      </c>
      <c r="E54" s="76" t="s">
        <v>134</v>
      </c>
      <c r="F54" s="83"/>
      <c r="G54" s="156">
        <v>106</v>
      </c>
      <c r="H54" s="156">
        <v>45</v>
      </c>
      <c r="I54" s="149">
        <f t="shared" si="0"/>
        <v>151</v>
      </c>
      <c r="J54" s="156">
        <v>71</v>
      </c>
      <c r="K54" s="156">
        <v>71</v>
      </c>
      <c r="L54" s="149">
        <f t="shared" si="1"/>
        <v>142</v>
      </c>
      <c r="M54" s="156">
        <v>80</v>
      </c>
      <c r="N54" s="156">
        <v>58</v>
      </c>
      <c r="O54" s="149">
        <f t="shared" si="2"/>
        <v>138</v>
      </c>
      <c r="P54" s="156">
        <v>63</v>
      </c>
      <c r="Q54" s="156">
        <v>51</v>
      </c>
      <c r="R54" s="149">
        <f>SUM(P54:Q54)</f>
        <v>114</v>
      </c>
      <c r="S54" s="156"/>
      <c r="T54" s="156"/>
      <c r="U54" s="149"/>
      <c r="V54" s="156"/>
      <c r="W54" s="156"/>
      <c r="X54" s="149"/>
      <c r="Y54" s="156"/>
      <c r="Z54" s="156"/>
      <c r="AA54" s="149"/>
      <c r="AB54" s="156"/>
      <c r="AC54" s="156"/>
      <c r="AD54" s="149"/>
      <c r="AE54" s="156"/>
      <c r="AF54" s="156"/>
      <c r="AG54" s="149"/>
      <c r="AH54" s="156">
        <v>65</v>
      </c>
      <c r="AI54" s="156">
        <v>48</v>
      </c>
      <c r="AJ54" s="149">
        <f>SUM(AH54:AI54)</f>
        <v>113</v>
      </c>
      <c r="AK54" s="156"/>
      <c r="AL54" s="156"/>
      <c r="AM54" s="149"/>
      <c r="AN54" s="156">
        <v>20</v>
      </c>
      <c r="AO54" s="156">
        <v>21</v>
      </c>
      <c r="AP54" s="149">
        <f t="shared" si="3"/>
        <v>41</v>
      </c>
      <c r="AQ54" s="156">
        <v>48</v>
      </c>
      <c r="AR54" s="156">
        <v>41</v>
      </c>
      <c r="AS54" s="149">
        <f t="shared" si="4"/>
        <v>89</v>
      </c>
      <c r="AT54" s="156">
        <v>20</v>
      </c>
      <c r="AU54" s="156">
        <v>22</v>
      </c>
      <c r="AV54" s="149">
        <f t="shared" si="5"/>
        <v>42</v>
      </c>
      <c r="AW54" s="157">
        <v>50</v>
      </c>
      <c r="AX54" s="149">
        <f t="shared" si="6"/>
        <v>830</v>
      </c>
      <c r="AY54" s="152" t="s">
        <v>556</v>
      </c>
    </row>
    <row r="55" spans="1:51" ht="95.25" customHeight="1" x14ac:dyDescent="0.4">
      <c r="A55" s="68">
        <v>48</v>
      </c>
      <c r="B55" s="150">
        <v>180090102050</v>
      </c>
      <c r="C55" s="70">
        <v>180000100050</v>
      </c>
      <c r="D55" s="76" t="s">
        <v>135</v>
      </c>
      <c r="E55" s="76" t="s">
        <v>136</v>
      </c>
      <c r="F55" s="83"/>
      <c r="G55" s="156">
        <v>110</v>
      </c>
      <c r="H55" s="156">
        <v>68</v>
      </c>
      <c r="I55" s="149">
        <f t="shared" si="0"/>
        <v>178</v>
      </c>
      <c r="J55" s="156">
        <v>93</v>
      </c>
      <c r="K55" s="156">
        <v>72</v>
      </c>
      <c r="L55" s="149">
        <f t="shared" si="1"/>
        <v>165</v>
      </c>
      <c r="M55" s="156">
        <v>80</v>
      </c>
      <c r="N55" s="156">
        <v>54</v>
      </c>
      <c r="O55" s="149">
        <f t="shared" si="2"/>
        <v>134</v>
      </c>
      <c r="P55" s="156"/>
      <c r="Q55" s="156"/>
      <c r="R55" s="149"/>
      <c r="S55" s="156">
        <v>80</v>
      </c>
      <c r="T55" s="156">
        <v>51</v>
      </c>
      <c r="U55" s="149">
        <f>SUM(S55:T55)</f>
        <v>131</v>
      </c>
      <c r="V55" s="156"/>
      <c r="W55" s="156"/>
      <c r="X55" s="149"/>
      <c r="Y55" s="156"/>
      <c r="Z55" s="156"/>
      <c r="AA55" s="149"/>
      <c r="AB55" s="156">
        <v>77</v>
      </c>
      <c r="AC55" s="156">
        <v>53</v>
      </c>
      <c r="AD55" s="149">
        <f>SUM(AB55:AC55)</f>
        <v>130</v>
      </c>
      <c r="AE55" s="156"/>
      <c r="AF55" s="156"/>
      <c r="AG55" s="149"/>
      <c r="AH55" s="156"/>
      <c r="AI55" s="156"/>
      <c r="AJ55" s="149"/>
      <c r="AK55" s="156"/>
      <c r="AL55" s="156"/>
      <c r="AM55" s="149"/>
      <c r="AN55" s="156">
        <v>21</v>
      </c>
      <c r="AO55" s="156">
        <v>17</v>
      </c>
      <c r="AP55" s="149">
        <f t="shared" si="3"/>
        <v>38</v>
      </c>
      <c r="AQ55" s="156">
        <v>45</v>
      </c>
      <c r="AR55" s="156">
        <v>39</v>
      </c>
      <c r="AS55" s="149">
        <f t="shared" si="4"/>
        <v>84</v>
      </c>
      <c r="AT55" s="156">
        <v>19</v>
      </c>
      <c r="AU55" s="156">
        <v>23</v>
      </c>
      <c r="AV55" s="149">
        <f t="shared" si="5"/>
        <v>42</v>
      </c>
      <c r="AW55" s="157">
        <v>46</v>
      </c>
      <c r="AX55" s="149">
        <f t="shared" si="6"/>
        <v>902</v>
      </c>
      <c r="AY55" s="152" t="s">
        <v>556</v>
      </c>
    </row>
    <row r="56" spans="1:51" ht="95.25" customHeight="1" x14ac:dyDescent="0.4">
      <c r="A56" s="68">
        <v>49</v>
      </c>
      <c r="B56" s="150">
        <v>180090102051</v>
      </c>
      <c r="C56" s="70">
        <v>180000100051</v>
      </c>
      <c r="D56" s="76" t="s">
        <v>137</v>
      </c>
      <c r="E56" s="76" t="s">
        <v>138</v>
      </c>
      <c r="F56" s="83"/>
      <c r="G56" s="156">
        <v>98</v>
      </c>
      <c r="H56" s="156">
        <v>70</v>
      </c>
      <c r="I56" s="149">
        <f t="shared" si="0"/>
        <v>168</v>
      </c>
      <c r="J56" s="156">
        <v>81</v>
      </c>
      <c r="K56" s="156">
        <v>72</v>
      </c>
      <c r="L56" s="149">
        <f t="shared" si="1"/>
        <v>153</v>
      </c>
      <c r="M56" s="156">
        <v>77</v>
      </c>
      <c r="N56" s="156">
        <v>50</v>
      </c>
      <c r="O56" s="149">
        <f t="shared" si="2"/>
        <v>127</v>
      </c>
      <c r="P56" s="156">
        <v>60</v>
      </c>
      <c r="Q56" s="156">
        <v>51</v>
      </c>
      <c r="R56" s="149">
        <f>SUM(P56:Q56)</f>
        <v>111</v>
      </c>
      <c r="S56" s="156"/>
      <c r="T56" s="156"/>
      <c r="U56" s="149"/>
      <c r="V56" s="156"/>
      <c r="W56" s="156"/>
      <c r="X56" s="149"/>
      <c r="Y56" s="156"/>
      <c r="Z56" s="156"/>
      <c r="AA56" s="149"/>
      <c r="AB56" s="156"/>
      <c r="AC56" s="156"/>
      <c r="AD56" s="149"/>
      <c r="AE56" s="156">
        <v>81</v>
      </c>
      <c r="AF56" s="156">
        <v>42</v>
      </c>
      <c r="AG56" s="149">
        <f>SUM(AE56:AF56)</f>
        <v>123</v>
      </c>
      <c r="AH56" s="156"/>
      <c r="AI56" s="156"/>
      <c r="AJ56" s="149"/>
      <c r="AK56" s="156"/>
      <c r="AL56" s="156"/>
      <c r="AM56" s="149"/>
      <c r="AN56" s="156">
        <v>20</v>
      </c>
      <c r="AO56" s="156">
        <v>16</v>
      </c>
      <c r="AP56" s="149">
        <f t="shared" si="3"/>
        <v>36</v>
      </c>
      <c r="AQ56" s="156">
        <v>47</v>
      </c>
      <c r="AR56" s="156">
        <v>46</v>
      </c>
      <c r="AS56" s="149">
        <f t="shared" si="4"/>
        <v>93</v>
      </c>
      <c r="AT56" s="156">
        <v>19</v>
      </c>
      <c r="AU56" s="156">
        <v>19</v>
      </c>
      <c r="AV56" s="149">
        <f t="shared" si="5"/>
        <v>38</v>
      </c>
      <c r="AW56" s="158">
        <v>50</v>
      </c>
      <c r="AX56" s="149">
        <f t="shared" si="6"/>
        <v>849</v>
      </c>
      <c r="AY56" s="152" t="s">
        <v>556</v>
      </c>
    </row>
    <row r="57" spans="1:51" ht="95.25" customHeight="1" x14ac:dyDescent="0.4">
      <c r="A57" s="68">
        <v>50</v>
      </c>
      <c r="B57" s="150">
        <v>180090102052</v>
      </c>
      <c r="C57" s="70">
        <v>180000100052</v>
      </c>
      <c r="D57" s="76" t="s">
        <v>139</v>
      </c>
      <c r="E57" s="76" t="s">
        <v>140</v>
      </c>
      <c r="F57" s="83"/>
      <c r="G57" s="156">
        <v>102</v>
      </c>
      <c r="H57" s="156">
        <v>62</v>
      </c>
      <c r="I57" s="149">
        <f t="shared" si="0"/>
        <v>164</v>
      </c>
      <c r="J57" s="156">
        <v>81</v>
      </c>
      <c r="K57" s="156">
        <v>68</v>
      </c>
      <c r="L57" s="149">
        <f t="shared" si="1"/>
        <v>149</v>
      </c>
      <c r="M57" s="156">
        <v>75</v>
      </c>
      <c r="N57" s="156">
        <v>48</v>
      </c>
      <c r="O57" s="149">
        <f t="shared" si="2"/>
        <v>123</v>
      </c>
      <c r="P57" s="156">
        <v>59</v>
      </c>
      <c r="Q57" s="156">
        <v>49</v>
      </c>
      <c r="R57" s="149">
        <f>SUM(P57:Q57)</f>
        <v>108</v>
      </c>
      <c r="S57" s="156"/>
      <c r="T57" s="156"/>
      <c r="U57" s="149"/>
      <c r="V57" s="156"/>
      <c r="W57" s="156"/>
      <c r="X57" s="149"/>
      <c r="Y57" s="156"/>
      <c r="Z57" s="156"/>
      <c r="AA57" s="149"/>
      <c r="AB57" s="156"/>
      <c r="AC57" s="156"/>
      <c r="AD57" s="149"/>
      <c r="AE57" s="156"/>
      <c r="AF57" s="156"/>
      <c r="AG57" s="149"/>
      <c r="AH57" s="156">
        <v>68</v>
      </c>
      <c r="AI57" s="156">
        <v>47</v>
      </c>
      <c r="AJ57" s="149">
        <f>SUM(AH57:AI57)</f>
        <v>115</v>
      </c>
      <c r="AK57" s="156"/>
      <c r="AL57" s="156"/>
      <c r="AM57" s="149"/>
      <c r="AN57" s="156">
        <v>23</v>
      </c>
      <c r="AO57" s="156">
        <v>15</v>
      </c>
      <c r="AP57" s="149">
        <f t="shared" si="3"/>
        <v>38</v>
      </c>
      <c r="AQ57" s="156">
        <v>38</v>
      </c>
      <c r="AR57" s="156">
        <v>42</v>
      </c>
      <c r="AS57" s="149">
        <f t="shared" si="4"/>
        <v>80</v>
      </c>
      <c r="AT57" s="156">
        <v>22</v>
      </c>
      <c r="AU57" s="156">
        <v>20</v>
      </c>
      <c r="AV57" s="149">
        <f t="shared" si="5"/>
        <v>42</v>
      </c>
      <c r="AW57" s="157">
        <v>44</v>
      </c>
      <c r="AX57" s="149">
        <f t="shared" si="6"/>
        <v>819</v>
      </c>
      <c r="AY57" s="152" t="s">
        <v>556</v>
      </c>
    </row>
    <row r="58" spans="1:51" ht="95.25" customHeight="1" x14ac:dyDescent="0.4">
      <c r="A58" s="68">
        <v>51</v>
      </c>
      <c r="B58" s="143">
        <v>690090102001</v>
      </c>
      <c r="C58" s="69">
        <v>690090100299</v>
      </c>
      <c r="D58" s="84" t="s">
        <v>525</v>
      </c>
      <c r="E58" s="75" t="s">
        <v>526</v>
      </c>
      <c r="F58" s="83"/>
      <c r="G58" s="156">
        <v>94</v>
      </c>
      <c r="H58" s="156">
        <v>66</v>
      </c>
      <c r="I58" s="149">
        <f t="shared" si="0"/>
        <v>160</v>
      </c>
      <c r="J58" s="156">
        <v>66</v>
      </c>
      <c r="K58" s="156">
        <v>50</v>
      </c>
      <c r="L58" s="149">
        <f t="shared" si="1"/>
        <v>116</v>
      </c>
      <c r="M58" s="156">
        <v>72</v>
      </c>
      <c r="N58" s="156">
        <v>45</v>
      </c>
      <c r="O58" s="149">
        <f t="shared" si="2"/>
        <v>117</v>
      </c>
      <c r="P58" s="156"/>
      <c r="Q58" s="156"/>
      <c r="R58" s="149"/>
      <c r="S58" s="156"/>
      <c r="T58" s="156"/>
      <c r="U58" s="149"/>
      <c r="V58" s="156"/>
      <c r="W58" s="156"/>
      <c r="X58" s="149"/>
      <c r="Y58" s="156">
        <v>66</v>
      </c>
      <c r="Z58" s="156">
        <v>38</v>
      </c>
      <c r="AA58" s="149">
        <f>SUM(Y58:Z58)</f>
        <v>104</v>
      </c>
      <c r="AB58" s="156"/>
      <c r="AC58" s="156"/>
      <c r="AD58" s="149"/>
      <c r="AE58" s="156"/>
      <c r="AF58" s="156"/>
      <c r="AG58" s="149"/>
      <c r="AH58" s="156">
        <v>63</v>
      </c>
      <c r="AI58" s="156">
        <v>34</v>
      </c>
      <c r="AJ58" s="149">
        <f>SUM(AH58:AI58)</f>
        <v>97</v>
      </c>
      <c r="AK58" s="156"/>
      <c r="AL58" s="156"/>
      <c r="AM58" s="149"/>
      <c r="AN58" s="156">
        <v>14</v>
      </c>
      <c r="AO58" s="156">
        <v>14</v>
      </c>
      <c r="AP58" s="149">
        <f t="shared" si="3"/>
        <v>28</v>
      </c>
      <c r="AQ58" s="156">
        <v>36</v>
      </c>
      <c r="AR58" s="156">
        <v>37</v>
      </c>
      <c r="AS58" s="149">
        <f t="shared" si="4"/>
        <v>73</v>
      </c>
      <c r="AT58" s="156">
        <v>21</v>
      </c>
      <c r="AU58" s="156">
        <v>22</v>
      </c>
      <c r="AV58" s="149">
        <f t="shared" si="5"/>
        <v>43</v>
      </c>
      <c r="AW58" s="157">
        <v>45</v>
      </c>
      <c r="AX58" s="149">
        <f t="shared" si="6"/>
        <v>738</v>
      </c>
      <c r="AY58" s="152" t="s">
        <v>556</v>
      </c>
    </row>
    <row r="59" spans="1:51" ht="95.25" customHeight="1" x14ac:dyDescent="0.4">
      <c r="A59" s="68">
        <v>52</v>
      </c>
      <c r="B59" s="143">
        <v>690090102002</v>
      </c>
      <c r="C59" s="69">
        <v>690090100300</v>
      </c>
      <c r="D59" s="84" t="s">
        <v>464</v>
      </c>
      <c r="E59" s="75" t="s">
        <v>465</v>
      </c>
      <c r="F59" s="83"/>
      <c r="G59" s="156">
        <v>80</v>
      </c>
      <c r="H59" s="156">
        <v>43</v>
      </c>
      <c r="I59" s="149">
        <f t="shared" si="0"/>
        <v>123</v>
      </c>
      <c r="J59" s="156">
        <v>68</v>
      </c>
      <c r="K59" s="156">
        <v>63</v>
      </c>
      <c r="L59" s="149">
        <f t="shared" si="1"/>
        <v>131</v>
      </c>
      <c r="M59" s="156">
        <v>65</v>
      </c>
      <c r="N59" s="156">
        <v>43</v>
      </c>
      <c r="O59" s="149">
        <f t="shared" si="2"/>
        <v>108</v>
      </c>
      <c r="P59" s="156">
        <v>56</v>
      </c>
      <c r="Q59" s="156">
        <v>44</v>
      </c>
      <c r="R59" s="149">
        <f>SUM(P59:Q59)</f>
        <v>100</v>
      </c>
      <c r="S59" s="156"/>
      <c r="T59" s="156"/>
      <c r="U59" s="149"/>
      <c r="V59" s="156"/>
      <c r="W59" s="156"/>
      <c r="X59" s="149"/>
      <c r="Y59" s="156"/>
      <c r="Z59" s="156"/>
      <c r="AA59" s="149"/>
      <c r="AB59" s="156">
        <v>75</v>
      </c>
      <c r="AC59" s="156">
        <v>49</v>
      </c>
      <c r="AD59" s="149">
        <f>SUM(AB59:AC59)</f>
        <v>124</v>
      </c>
      <c r="AE59" s="156"/>
      <c r="AF59" s="156"/>
      <c r="AG59" s="149"/>
      <c r="AH59" s="156"/>
      <c r="AI59" s="156"/>
      <c r="AJ59" s="149"/>
      <c r="AK59" s="156"/>
      <c r="AL59" s="156"/>
      <c r="AM59" s="149"/>
      <c r="AN59" s="156">
        <v>17</v>
      </c>
      <c r="AO59" s="156">
        <v>16</v>
      </c>
      <c r="AP59" s="149">
        <f t="shared" si="3"/>
        <v>33</v>
      </c>
      <c r="AQ59" s="157">
        <v>40</v>
      </c>
      <c r="AR59" s="156">
        <v>32</v>
      </c>
      <c r="AS59" s="149">
        <f t="shared" si="4"/>
        <v>72</v>
      </c>
      <c r="AT59" s="156">
        <v>21</v>
      </c>
      <c r="AU59" s="156">
        <v>21</v>
      </c>
      <c r="AV59" s="149">
        <f t="shared" si="5"/>
        <v>42</v>
      </c>
      <c r="AW59" s="157">
        <v>47</v>
      </c>
      <c r="AX59" s="149">
        <f t="shared" si="6"/>
        <v>733</v>
      </c>
      <c r="AY59" s="152" t="s">
        <v>556</v>
      </c>
    </row>
    <row r="60" spans="1:51" ht="95.25" customHeight="1" x14ac:dyDescent="0.4">
      <c r="A60" s="68">
        <v>53</v>
      </c>
      <c r="B60" s="143">
        <v>690090102003</v>
      </c>
      <c r="C60" s="69">
        <v>690090100301</v>
      </c>
      <c r="D60" s="84" t="s">
        <v>466</v>
      </c>
      <c r="E60" s="75" t="s">
        <v>505</v>
      </c>
      <c r="F60" s="83"/>
      <c r="G60" s="156">
        <v>108</v>
      </c>
      <c r="H60" s="156">
        <v>66</v>
      </c>
      <c r="I60" s="149">
        <f t="shared" si="0"/>
        <v>174</v>
      </c>
      <c r="J60" s="156">
        <v>89</v>
      </c>
      <c r="K60" s="156">
        <v>75</v>
      </c>
      <c r="L60" s="149">
        <f t="shared" si="1"/>
        <v>164</v>
      </c>
      <c r="M60" s="156">
        <v>81</v>
      </c>
      <c r="N60" s="156">
        <v>51</v>
      </c>
      <c r="O60" s="149">
        <f t="shared" si="2"/>
        <v>132</v>
      </c>
      <c r="P60" s="156"/>
      <c r="Q60" s="156"/>
      <c r="R60" s="149"/>
      <c r="S60" s="156"/>
      <c r="T60" s="156"/>
      <c r="U60" s="149"/>
      <c r="V60" s="156">
        <v>66</v>
      </c>
      <c r="W60" s="156">
        <v>56</v>
      </c>
      <c r="X60" s="149">
        <f>SUM(V60:W60)</f>
        <v>122</v>
      </c>
      <c r="Y60" s="156"/>
      <c r="Z60" s="156"/>
      <c r="AA60" s="149"/>
      <c r="AB60" s="156">
        <v>75</v>
      </c>
      <c r="AC60" s="156">
        <v>46</v>
      </c>
      <c r="AD60" s="149">
        <f>SUM(AB60:AC60)</f>
        <v>121</v>
      </c>
      <c r="AE60" s="156"/>
      <c r="AF60" s="156"/>
      <c r="AG60" s="149"/>
      <c r="AH60" s="156"/>
      <c r="AI60" s="156"/>
      <c r="AJ60" s="149"/>
      <c r="AK60" s="156"/>
      <c r="AL60" s="156"/>
      <c r="AM60" s="149"/>
      <c r="AN60" s="156">
        <v>19</v>
      </c>
      <c r="AO60" s="156">
        <v>19</v>
      </c>
      <c r="AP60" s="149">
        <f t="shared" si="3"/>
        <v>38</v>
      </c>
      <c r="AQ60" s="156">
        <v>47</v>
      </c>
      <c r="AR60" s="156">
        <v>42</v>
      </c>
      <c r="AS60" s="149">
        <f t="shared" si="4"/>
        <v>89</v>
      </c>
      <c r="AT60" s="156">
        <v>18</v>
      </c>
      <c r="AU60" s="156">
        <v>21</v>
      </c>
      <c r="AV60" s="149">
        <f t="shared" si="5"/>
        <v>39</v>
      </c>
      <c r="AW60" s="157">
        <v>50</v>
      </c>
      <c r="AX60" s="149">
        <f t="shared" si="6"/>
        <v>879</v>
      </c>
      <c r="AY60" s="152" t="s">
        <v>556</v>
      </c>
    </row>
    <row r="61" spans="1:51" ht="95.25" customHeight="1" x14ac:dyDescent="0.4">
      <c r="A61" s="68">
        <v>54</v>
      </c>
      <c r="B61" s="143">
        <v>690090102004</v>
      </c>
      <c r="C61" s="69">
        <v>690090100302</v>
      </c>
      <c r="D61" s="84" t="s">
        <v>467</v>
      </c>
      <c r="E61" s="75" t="s">
        <v>468</v>
      </c>
      <c r="F61" s="83"/>
      <c r="G61" s="156">
        <v>94</v>
      </c>
      <c r="H61" s="156">
        <v>64</v>
      </c>
      <c r="I61" s="149">
        <f t="shared" si="0"/>
        <v>158</v>
      </c>
      <c r="J61" s="156">
        <v>84</v>
      </c>
      <c r="K61" s="156">
        <v>58</v>
      </c>
      <c r="L61" s="149">
        <f t="shared" si="1"/>
        <v>142</v>
      </c>
      <c r="M61" s="156">
        <v>68</v>
      </c>
      <c r="N61" s="156">
        <v>50</v>
      </c>
      <c r="O61" s="149">
        <f t="shared" si="2"/>
        <v>118</v>
      </c>
      <c r="P61" s="156">
        <v>62</v>
      </c>
      <c r="Q61" s="156">
        <v>47</v>
      </c>
      <c r="R61" s="149">
        <f>SUM(P61:Q61)</f>
        <v>109</v>
      </c>
      <c r="S61" s="156"/>
      <c r="T61" s="156"/>
      <c r="U61" s="149"/>
      <c r="V61" s="156"/>
      <c r="W61" s="156"/>
      <c r="X61" s="149"/>
      <c r="Y61" s="156"/>
      <c r="Z61" s="156"/>
      <c r="AA61" s="149"/>
      <c r="AB61" s="156">
        <v>72</v>
      </c>
      <c r="AC61" s="156">
        <v>50</v>
      </c>
      <c r="AD61" s="149">
        <f>SUM(AB61:AC61)</f>
        <v>122</v>
      </c>
      <c r="AE61" s="156"/>
      <c r="AF61" s="156"/>
      <c r="AG61" s="149"/>
      <c r="AH61" s="156"/>
      <c r="AI61" s="156"/>
      <c r="AJ61" s="149"/>
      <c r="AK61" s="156"/>
      <c r="AL61" s="156"/>
      <c r="AM61" s="149"/>
      <c r="AN61" s="156">
        <v>22</v>
      </c>
      <c r="AO61" s="156">
        <v>17</v>
      </c>
      <c r="AP61" s="149">
        <f t="shared" si="3"/>
        <v>39</v>
      </c>
      <c r="AQ61" s="156">
        <v>49</v>
      </c>
      <c r="AR61" s="156">
        <v>44</v>
      </c>
      <c r="AS61" s="149">
        <f t="shared" si="4"/>
        <v>93</v>
      </c>
      <c r="AT61" s="156">
        <v>19</v>
      </c>
      <c r="AU61" s="156">
        <v>22</v>
      </c>
      <c r="AV61" s="149">
        <f t="shared" si="5"/>
        <v>41</v>
      </c>
      <c r="AW61" s="157">
        <v>50</v>
      </c>
      <c r="AX61" s="149">
        <f t="shared" si="6"/>
        <v>822</v>
      </c>
      <c r="AY61" s="152" t="s">
        <v>556</v>
      </c>
    </row>
    <row r="62" spans="1:51" ht="95.25" customHeight="1" x14ac:dyDescent="0.4">
      <c r="A62" s="68">
        <v>55</v>
      </c>
      <c r="B62" s="143">
        <v>690090102005</v>
      </c>
      <c r="C62" s="69">
        <v>690090100303</v>
      </c>
      <c r="D62" s="84" t="s">
        <v>469</v>
      </c>
      <c r="E62" s="75" t="s">
        <v>470</v>
      </c>
      <c r="F62" s="83"/>
      <c r="G62" s="156">
        <v>102</v>
      </c>
      <c r="H62" s="156">
        <v>68</v>
      </c>
      <c r="I62" s="149">
        <f t="shared" si="0"/>
        <v>170</v>
      </c>
      <c r="J62" s="156">
        <v>84</v>
      </c>
      <c r="K62" s="156">
        <v>73</v>
      </c>
      <c r="L62" s="149">
        <f t="shared" si="1"/>
        <v>157</v>
      </c>
      <c r="M62" s="156">
        <v>66</v>
      </c>
      <c r="N62" s="156">
        <v>55</v>
      </c>
      <c r="O62" s="149">
        <f t="shared" si="2"/>
        <v>121</v>
      </c>
      <c r="P62" s="156"/>
      <c r="Q62" s="156"/>
      <c r="R62" s="149"/>
      <c r="S62" s="156"/>
      <c r="T62" s="156"/>
      <c r="U62" s="149"/>
      <c r="V62" s="156">
        <v>78</v>
      </c>
      <c r="W62" s="156">
        <v>53</v>
      </c>
      <c r="X62" s="149">
        <f>SUM(V62:W62)</f>
        <v>131</v>
      </c>
      <c r="Y62" s="156"/>
      <c r="Z62" s="156"/>
      <c r="AA62" s="149"/>
      <c r="AB62" s="156"/>
      <c r="AC62" s="156"/>
      <c r="AD62" s="149"/>
      <c r="AE62" s="156"/>
      <c r="AF62" s="156"/>
      <c r="AG62" s="149"/>
      <c r="AH62" s="156">
        <v>71</v>
      </c>
      <c r="AI62" s="156">
        <v>53</v>
      </c>
      <c r="AJ62" s="149">
        <f>SUM(AH62:AI62)</f>
        <v>124</v>
      </c>
      <c r="AK62" s="156"/>
      <c r="AL62" s="156"/>
      <c r="AM62" s="149"/>
      <c r="AN62" s="156">
        <v>20</v>
      </c>
      <c r="AO62" s="156">
        <v>20</v>
      </c>
      <c r="AP62" s="149">
        <f t="shared" si="3"/>
        <v>40</v>
      </c>
      <c r="AQ62" s="156">
        <v>38</v>
      </c>
      <c r="AR62" s="156">
        <v>38</v>
      </c>
      <c r="AS62" s="149">
        <f t="shared" si="4"/>
        <v>76</v>
      </c>
      <c r="AT62" s="156">
        <v>18</v>
      </c>
      <c r="AU62" s="156">
        <v>21</v>
      </c>
      <c r="AV62" s="149">
        <f t="shared" si="5"/>
        <v>39</v>
      </c>
      <c r="AW62" s="157">
        <v>48</v>
      </c>
      <c r="AX62" s="149">
        <f t="shared" si="6"/>
        <v>858</v>
      </c>
      <c r="AY62" s="152" t="s">
        <v>556</v>
      </c>
    </row>
    <row r="63" spans="1:51" ht="95.25" customHeight="1" x14ac:dyDescent="0.4">
      <c r="A63" s="68">
        <v>56</v>
      </c>
      <c r="B63" s="143">
        <v>690090102007</v>
      </c>
      <c r="C63" s="69">
        <v>690090100305</v>
      </c>
      <c r="D63" s="84" t="s">
        <v>471</v>
      </c>
      <c r="E63" s="75" t="s">
        <v>472</v>
      </c>
      <c r="F63" s="83"/>
      <c r="G63" s="156">
        <v>108</v>
      </c>
      <c r="H63" s="156">
        <v>69</v>
      </c>
      <c r="I63" s="149">
        <f t="shared" si="0"/>
        <v>177</v>
      </c>
      <c r="J63" s="156">
        <v>78</v>
      </c>
      <c r="K63" s="156">
        <v>64</v>
      </c>
      <c r="L63" s="149">
        <f t="shared" si="1"/>
        <v>142</v>
      </c>
      <c r="M63" s="156">
        <v>81</v>
      </c>
      <c r="N63" s="156">
        <v>43</v>
      </c>
      <c r="O63" s="149">
        <f t="shared" si="2"/>
        <v>124</v>
      </c>
      <c r="P63" s="156"/>
      <c r="Q63" s="156"/>
      <c r="R63" s="149"/>
      <c r="S63" s="156"/>
      <c r="T63" s="156"/>
      <c r="U63" s="149"/>
      <c r="V63" s="156"/>
      <c r="W63" s="156"/>
      <c r="X63" s="149"/>
      <c r="Y63" s="156">
        <v>75</v>
      </c>
      <c r="Z63" s="156">
        <v>52</v>
      </c>
      <c r="AA63" s="149">
        <f>SUM(Y63:Z63)</f>
        <v>127</v>
      </c>
      <c r="AB63" s="156"/>
      <c r="AC63" s="156"/>
      <c r="AD63" s="149"/>
      <c r="AE63" s="156"/>
      <c r="AF63" s="156"/>
      <c r="AG63" s="149"/>
      <c r="AH63" s="156">
        <v>69</v>
      </c>
      <c r="AI63" s="156">
        <v>43</v>
      </c>
      <c r="AJ63" s="149">
        <f>SUM(AH63:AI63)</f>
        <v>112</v>
      </c>
      <c r="AK63" s="156"/>
      <c r="AL63" s="156"/>
      <c r="AM63" s="149"/>
      <c r="AN63" s="156">
        <v>19</v>
      </c>
      <c r="AO63" s="156">
        <v>14</v>
      </c>
      <c r="AP63" s="149">
        <f t="shared" si="3"/>
        <v>33</v>
      </c>
      <c r="AQ63" s="156">
        <v>45</v>
      </c>
      <c r="AR63" s="156">
        <v>35</v>
      </c>
      <c r="AS63" s="149">
        <f t="shared" si="4"/>
        <v>80</v>
      </c>
      <c r="AT63" s="156">
        <v>21</v>
      </c>
      <c r="AU63" s="156">
        <v>19</v>
      </c>
      <c r="AV63" s="149">
        <f t="shared" si="5"/>
        <v>40</v>
      </c>
      <c r="AW63" s="157">
        <v>48</v>
      </c>
      <c r="AX63" s="149">
        <f t="shared" si="6"/>
        <v>835</v>
      </c>
      <c r="AY63" s="152" t="s">
        <v>556</v>
      </c>
    </row>
    <row r="64" spans="1:51" ht="95.25" customHeight="1" x14ac:dyDescent="0.4">
      <c r="A64" s="68">
        <v>57</v>
      </c>
      <c r="B64" s="143">
        <v>690090102008</v>
      </c>
      <c r="C64" s="69">
        <v>690090100306</v>
      </c>
      <c r="D64" s="84" t="s">
        <v>473</v>
      </c>
      <c r="E64" s="75" t="s">
        <v>474</v>
      </c>
      <c r="F64" s="83"/>
      <c r="G64" s="156">
        <v>106</v>
      </c>
      <c r="H64" s="156">
        <v>44</v>
      </c>
      <c r="I64" s="149">
        <f t="shared" si="0"/>
        <v>150</v>
      </c>
      <c r="J64" s="156">
        <v>81</v>
      </c>
      <c r="K64" s="156">
        <v>74</v>
      </c>
      <c r="L64" s="149">
        <f t="shared" si="1"/>
        <v>155</v>
      </c>
      <c r="M64" s="156">
        <v>80</v>
      </c>
      <c r="N64" s="156">
        <v>53</v>
      </c>
      <c r="O64" s="149">
        <f t="shared" si="2"/>
        <v>133</v>
      </c>
      <c r="P64" s="156">
        <v>62</v>
      </c>
      <c r="Q64" s="156">
        <v>49</v>
      </c>
      <c r="R64" s="149">
        <f>SUM(P64:Q64)</f>
        <v>111</v>
      </c>
      <c r="S64" s="156"/>
      <c r="T64" s="156"/>
      <c r="U64" s="149"/>
      <c r="V64" s="156"/>
      <c r="W64" s="156"/>
      <c r="X64" s="149"/>
      <c r="Y64" s="156"/>
      <c r="Z64" s="156"/>
      <c r="AA64" s="149"/>
      <c r="AB64" s="156">
        <v>84</v>
      </c>
      <c r="AC64" s="156">
        <v>47</v>
      </c>
      <c r="AD64" s="149">
        <f>SUM(AB64:AC64)</f>
        <v>131</v>
      </c>
      <c r="AE64" s="156"/>
      <c r="AF64" s="156"/>
      <c r="AG64" s="149"/>
      <c r="AH64" s="156"/>
      <c r="AI64" s="156"/>
      <c r="AJ64" s="149"/>
      <c r="AK64" s="156"/>
      <c r="AL64" s="156"/>
      <c r="AM64" s="149"/>
      <c r="AN64" s="156">
        <v>18</v>
      </c>
      <c r="AO64" s="156">
        <v>21</v>
      </c>
      <c r="AP64" s="149">
        <f t="shared" si="3"/>
        <v>39</v>
      </c>
      <c r="AQ64" s="156">
        <v>42</v>
      </c>
      <c r="AR64" s="156">
        <v>41</v>
      </c>
      <c r="AS64" s="149">
        <f t="shared" si="4"/>
        <v>83</v>
      </c>
      <c r="AT64" s="156">
        <v>18</v>
      </c>
      <c r="AU64" s="156">
        <v>20</v>
      </c>
      <c r="AV64" s="149">
        <f t="shared" si="5"/>
        <v>38</v>
      </c>
      <c r="AW64" s="157">
        <v>48</v>
      </c>
      <c r="AX64" s="149">
        <f t="shared" si="6"/>
        <v>840</v>
      </c>
      <c r="AY64" s="152" t="s">
        <v>556</v>
      </c>
    </row>
  </sheetData>
  <mergeCells count="22">
    <mergeCell ref="A1:AY1"/>
    <mergeCell ref="A2:AY2"/>
    <mergeCell ref="A4:A7"/>
    <mergeCell ref="B4:B7"/>
    <mergeCell ref="D4:D7"/>
    <mergeCell ref="G4:I4"/>
    <mergeCell ref="A3:AY3"/>
    <mergeCell ref="C4:C7"/>
    <mergeCell ref="AT4:AV4"/>
    <mergeCell ref="AE4:AG4"/>
    <mergeCell ref="E4:E7"/>
    <mergeCell ref="AK4:AM4"/>
    <mergeCell ref="AH4:AJ4"/>
    <mergeCell ref="P4:R4"/>
    <mergeCell ref="S4:U4"/>
    <mergeCell ref="V4:X4"/>
    <mergeCell ref="J4:L4"/>
    <mergeCell ref="AN4:AP4"/>
    <mergeCell ref="AQ4:AS4"/>
    <mergeCell ref="M4:O4"/>
    <mergeCell ref="Y4:AA4"/>
    <mergeCell ref="AB4:AD4"/>
  </mergeCells>
  <conditionalFormatting sqref="G8:G64 J8:J64">
    <cfRule type="cellIs" dxfId="5" priority="39" stopIfTrue="1" operator="lessThan">
      <formula>36</formula>
    </cfRule>
  </conditionalFormatting>
  <conditionalFormatting sqref="I8:I64 L8:L64">
    <cfRule type="cellIs" dxfId="4" priority="38" stopIfTrue="1" operator="lessThan">
      <formula>80</formula>
    </cfRule>
  </conditionalFormatting>
  <conditionalFormatting sqref="M8:M64 P8:P64 S8:S64 V8:V64 Y8:Y64 AB8:AB64 AE8:AE64 AH8:AI64 AK8:AK64">
    <cfRule type="cellIs" dxfId="3" priority="21" stopIfTrue="1" operator="lessThan">
      <formula>27</formula>
    </cfRule>
  </conditionalFormatting>
  <conditionalFormatting sqref="O8:O64 R8:R64 U8:U64 X8:X64 AA8:AA64 AD8:AD64 AG8:AG64 AJ8:AJ64 AM8:AM64">
    <cfRule type="cellIs" dxfId="2" priority="20" stopIfTrue="1" operator="lessThan">
      <formula>60</formula>
    </cfRule>
  </conditionalFormatting>
  <conditionalFormatting sqref="AP8:AP64 AV8:AV64">
    <cfRule type="cellIs" dxfId="1" priority="28" stopIfTrue="1" operator="lessThan">
      <formula>25</formula>
    </cfRule>
  </conditionalFormatting>
  <conditionalFormatting sqref="AS8:AS64">
    <cfRule type="cellIs" dxfId="0" priority="2" stopIfTrue="1" operator="lessThan">
      <formula>50</formula>
    </cfRule>
  </conditionalFormatting>
  <pageMargins left="0.47244094488188981" right="0.31496062992125984" top="0.59055118110236227" bottom="1.51" header="0.27559055118110237" footer="0.87"/>
  <pageSetup paperSize="8" scale="35" orientation="landscape" horizontalDpi="4294967292" r:id="rId1"/>
  <headerFooter>
    <oddFooter>&amp;L&amp;"Arial,Bold"&amp;16$ Non Credit Subject(s) &amp;"Arial,Regular"       Date: 30.09.2021   Prepared by             Checked by &amp;C&amp;16Controller (GBPIET)                   &amp;"Arial,Bold"DIRECTOR&amp;R&amp;16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 S</vt:lpstr>
      <vt:lpstr>EE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2021-07-30T11:01:30Z</cp:lastPrinted>
  <dcterms:created xsi:type="dcterms:W3CDTF">1996-10-14T23:33:28Z</dcterms:created>
  <dcterms:modified xsi:type="dcterms:W3CDTF">2025-05-03T17:31:34Z</dcterms:modified>
</cp:coreProperties>
</file>